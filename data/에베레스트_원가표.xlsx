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yb\Desktop\"/>
    </mc:Choice>
  </mc:AlternateContent>
  <bookViews>
    <workbookView xWindow="0" yWindow="0" windowWidth="23040" windowHeight="8412" tabRatio="922" activeTab="1"/>
  </bookViews>
  <sheets>
    <sheet name="📊 대시보드" sheetId="1" r:id="rId1"/>
    <sheet name="🥬 식재료 DB" sheetId="2" r:id="rId2"/>
    <sheet name="💰 고정비용 DB" sheetId="3" r:id="rId3"/>
    <sheet name="🍗 닭고기 커리" sheetId="4" r:id="rId4"/>
    <sheet name="🐑 양고기 커리" sheetId="5" r:id="rId5"/>
    <sheet name="🥚 에그·해산물 커리" sheetId="6" r:id="rId6"/>
    <sheet name="🥦 야채·달 커리" sheetId="7" r:id="rId7"/>
    <sheet name="🔥 탄두리·케밥" sheetId="8" r:id="rId8"/>
    <sheet name="🥟 스낵·면·만두" sheetId="9" r:id="rId9"/>
    <sheet name="🫓 빵류" sheetId="10" r:id="rId10"/>
    <sheet name="🍚 밥·스프·샐러드" sheetId="11" r:id="rId11"/>
    <sheet name="🍮 디저트" sheetId="12" r:id="rId12"/>
    <sheet name="🥤 음료" sheetId="13" r:id="rId13"/>
    <sheet name="🍽 세트메뉴" sheetId="14" r:id="rId14"/>
    <sheet name="🧪 프렙 원가표" sheetId="15" r:id="rId15"/>
  </sheets>
  <definedNames>
    <definedName name="식재료DB">'🥬 식재료 DB'!$C$7:$H$121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5" i="2" l="1"/>
  <c r="H124" i="2"/>
  <c r="H123" i="2"/>
  <c r="H122" i="2"/>
  <c r="D22" i="3" l="1"/>
  <c r="E112" i="15" l="1"/>
  <c r="F112" i="15" s="1"/>
  <c r="E102" i="15"/>
  <c r="F102" i="15" s="1"/>
  <c r="E100" i="15"/>
  <c r="F100" i="15" s="1"/>
  <c r="E85" i="15"/>
  <c r="F85" i="15" s="1"/>
  <c r="E78" i="15"/>
  <c r="F78" i="15" s="1"/>
  <c r="E72" i="15"/>
  <c r="F72" i="15" s="1"/>
  <c r="E57" i="15"/>
  <c r="F57" i="15" s="1"/>
  <c r="E50" i="15"/>
  <c r="F50" i="15" s="1"/>
  <c r="E45" i="15"/>
  <c r="F45" i="15" s="1"/>
  <c r="E42" i="15"/>
  <c r="F42" i="15" s="1"/>
  <c r="E36" i="15"/>
  <c r="F36" i="15" s="1"/>
  <c r="E35" i="15"/>
  <c r="F35" i="15" s="1"/>
  <c r="E30" i="15"/>
  <c r="F30" i="15" s="1"/>
  <c r="G69" i="14"/>
  <c r="H69" i="14" s="1"/>
  <c r="G68" i="14"/>
  <c r="H68" i="14" s="1"/>
  <c r="G67" i="14"/>
  <c r="H67" i="14" s="1"/>
  <c r="G66" i="14"/>
  <c r="H66" i="14" s="1"/>
  <c r="G65" i="14"/>
  <c r="H65" i="14" s="1"/>
  <c r="G63" i="14"/>
  <c r="H63" i="14" s="1"/>
  <c r="G62" i="14"/>
  <c r="H62" i="14" s="1"/>
  <c r="G61" i="14"/>
  <c r="H61" i="14" s="1"/>
  <c r="G60" i="14"/>
  <c r="H60" i="14" s="1"/>
  <c r="G59" i="14"/>
  <c r="H59" i="14" s="1"/>
  <c r="G58" i="14"/>
  <c r="H58" i="14" s="1"/>
  <c r="G57" i="14"/>
  <c r="H57" i="14" s="1"/>
  <c r="G56" i="14"/>
  <c r="H56" i="14" s="1"/>
  <c r="G55" i="14"/>
  <c r="H55" i="14" s="1"/>
  <c r="G54" i="14"/>
  <c r="H54" i="14" s="1"/>
  <c r="G53" i="14"/>
  <c r="H53" i="14" s="1"/>
  <c r="G52" i="14"/>
  <c r="H52" i="14" s="1"/>
  <c r="G48" i="14"/>
  <c r="H48" i="14" s="1"/>
  <c r="G47" i="14"/>
  <c r="H47" i="14" s="1"/>
  <c r="G46" i="14"/>
  <c r="H46" i="14" s="1"/>
  <c r="G45" i="14"/>
  <c r="H45" i="14" s="1"/>
  <c r="G44" i="14"/>
  <c r="H44" i="14" s="1"/>
  <c r="G42" i="14"/>
  <c r="H42" i="14" s="1"/>
  <c r="G41" i="14"/>
  <c r="H41" i="14" s="1"/>
  <c r="G40" i="14"/>
  <c r="H40" i="14" s="1"/>
  <c r="G39" i="14"/>
  <c r="H39" i="14" s="1"/>
  <c r="G38" i="14"/>
  <c r="H38" i="14" s="1"/>
  <c r="G37" i="14"/>
  <c r="H37" i="14" s="1"/>
  <c r="G36" i="14"/>
  <c r="H36" i="14" s="1"/>
  <c r="G35" i="14"/>
  <c r="H35" i="14" s="1"/>
  <c r="G34" i="14"/>
  <c r="H34" i="14" s="1"/>
  <c r="G33" i="14"/>
  <c r="H33" i="14" s="1"/>
  <c r="G32" i="14"/>
  <c r="H32" i="14" s="1"/>
  <c r="G31" i="14"/>
  <c r="H31" i="14" s="1"/>
  <c r="G27" i="14"/>
  <c r="H27" i="14" s="1"/>
  <c r="G26" i="14"/>
  <c r="H26" i="14" s="1"/>
  <c r="G25" i="14"/>
  <c r="H25" i="14" s="1"/>
  <c r="G24" i="14"/>
  <c r="H24" i="14" s="1"/>
  <c r="G23" i="14"/>
  <c r="H23" i="14" s="1"/>
  <c r="G21" i="14"/>
  <c r="H21" i="14" s="1"/>
  <c r="G20" i="14"/>
  <c r="H20" i="14" s="1"/>
  <c r="G19" i="14"/>
  <c r="H19" i="14" s="1"/>
  <c r="G18" i="14"/>
  <c r="H18" i="14" s="1"/>
  <c r="G17" i="14"/>
  <c r="H17" i="14" s="1"/>
  <c r="G16" i="14"/>
  <c r="H16" i="14" s="1"/>
  <c r="G15" i="14"/>
  <c r="H15" i="14" s="1"/>
  <c r="G14" i="14"/>
  <c r="H14" i="14" s="1"/>
  <c r="G13" i="14"/>
  <c r="H13" i="14" s="1"/>
  <c r="G12" i="14"/>
  <c r="H12" i="14" s="1"/>
  <c r="G11" i="14"/>
  <c r="H11" i="14" s="1"/>
  <c r="G10" i="14"/>
  <c r="H10" i="14" s="1"/>
  <c r="G216" i="13"/>
  <c r="H216" i="13" s="1"/>
  <c r="G215" i="13"/>
  <c r="H215" i="13" s="1"/>
  <c r="G214" i="13"/>
  <c r="H214" i="13" s="1"/>
  <c r="G213" i="13"/>
  <c r="H213" i="13" s="1"/>
  <c r="G212" i="13"/>
  <c r="H212" i="13" s="1"/>
  <c r="G210" i="13"/>
  <c r="H210" i="13" s="1"/>
  <c r="G209" i="13"/>
  <c r="H209" i="13" s="1"/>
  <c r="G208" i="13"/>
  <c r="H208" i="13" s="1"/>
  <c r="G207" i="13"/>
  <c r="H207" i="13" s="1"/>
  <c r="G206" i="13"/>
  <c r="H206" i="13" s="1"/>
  <c r="G205" i="13"/>
  <c r="H205" i="13" s="1"/>
  <c r="G204" i="13"/>
  <c r="H204" i="13" s="1"/>
  <c r="G203" i="13"/>
  <c r="H203" i="13" s="1"/>
  <c r="G202" i="13"/>
  <c r="H202" i="13" s="1"/>
  <c r="G201" i="13"/>
  <c r="H201" i="13" s="1"/>
  <c r="G200" i="13"/>
  <c r="H200" i="13" s="1"/>
  <c r="G199" i="13"/>
  <c r="H199" i="13" s="1"/>
  <c r="G195" i="13"/>
  <c r="H195" i="13" s="1"/>
  <c r="G194" i="13"/>
  <c r="H194" i="13" s="1"/>
  <c r="G193" i="13"/>
  <c r="H193" i="13" s="1"/>
  <c r="G192" i="13"/>
  <c r="H192" i="13" s="1"/>
  <c r="G191" i="13"/>
  <c r="H191" i="13" s="1"/>
  <c r="G189" i="13"/>
  <c r="H189" i="13" s="1"/>
  <c r="G188" i="13"/>
  <c r="H188" i="13" s="1"/>
  <c r="G187" i="13"/>
  <c r="H187" i="13" s="1"/>
  <c r="G186" i="13"/>
  <c r="H186" i="13" s="1"/>
  <c r="G185" i="13"/>
  <c r="H185" i="13" s="1"/>
  <c r="G184" i="13"/>
  <c r="H184" i="13" s="1"/>
  <c r="G183" i="13"/>
  <c r="H183" i="13" s="1"/>
  <c r="G182" i="13"/>
  <c r="H182" i="13" s="1"/>
  <c r="G181" i="13"/>
  <c r="H181" i="13" s="1"/>
  <c r="G180" i="13"/>
  <c r="H180" i="13" s="1"/>
  <c r="G179" i="13"/>
  <c r="H179" i="13" s="1"/>
  <c r="G178" i="13"/>
  <c r="H178" i="13" s="1"/>
  <c r="G174" i="13"/>
  <c r="H174" i="13" s="1"/>
  <c r="G173" i="13"/>
  <c r="H173" i="13" s="1"/>
  <c r="G172" i="13"/>
  <c r="H172" i="13" s="1"/>
  <c r="G171" i="13"/>
  <c r="H171" i="13" s="1"/>
  <c r="G170" i="13"/>
  <c r="H170" i="13" s="1"/>
  <c r="G168" i="13"/>
  <c r="H168" i="13" s="1"/>
  <c r="G167" i="13"/>
  <c r="H167" i="13" s="1"/>
  <c r="G166" i="13"/>
  <c r="H166" i="13" s="1"/>
  <c r="G165" i="13"/>
  <c r="H165" i="13" s="1"/>
  <c r="G164" i="13"/>
  <c r="H164" i="13" s="1"/>
  <c r="G163" i="13"/>
  <c r="H163" i="13" s="1"/>
  <c r="G162" i="13"/>
  <c r="H162" i="13" s="1"/>
  <c r="G161" i="13"/>
  <c r="H161" i="13" s="1"/>
  <c r="G160" i="13"/>
  <c r="H160" i="13" s="1"/>
  <c r="G159" i="13"/>
  <c r="H159" i="13" s="1"/>
  <c r="G158" i="13"/>
  <c r="H158" i="13" s="1"/>
  <c r="G157" i="13"/>
  <c r="H157" i="13" s="1"/>
  <c r="G153" i="13"/>
  <c r="H153" i="13" s="1"/>
  <c r="G152" i="13"/>
  <c r="H152" i="13" s="1"/>
  <c r="G151" i="13"/>
  <c r="H151" i="13" s="1"/>
  <c r="G150" i="13"/>
  <c r="H150" i="13" s="1"/>
  <c r="G149" i="13"/>
  <c r="H149" i="13" s="1"/>
  <c r="G147" i="13"/>
  <c r="H147" i="13" s="1"/>
  <c r="G146" i="13"/>
  <c r="H146" i="13" s="1"/>
  <c r="G145" i="13"/>
  <c r="H145" i="13" s="1"/>
  <c r="G144" i="13"/>
  <c r="H144" i="13" s="1"/>
  <c r="G143" i="13"/>
  <c r="H143" i="13" s="1"/>
  <c r="G142" i="13"/>
  <c r="H142" i="13" s="1"/>
  <c r="G141" i="13"/>
  <c r="H141" i="13" s="1"/>
  <c r="G140" i="13"/>
  <c r="H140" i="13" s="1"/>
  <c r="G139" i="13"/>
  <c r="H139" i="13" s="1"/>
  <c r="G138" i="13"/>
  <c r="H138" i="13" s="1"/>
  <c r="G137" i="13"/>
  <c r="H137" i="13" s="1"/>
  <c r="G136" i="13"/>
  <c r="H136" i="13" s="1"/>
  <c r="G132" i="13"/>
  <c r="H132" i="13" s="1"/>
  <c r="G131" i="13"/>
  <c r="H131" i="13" s="1"/>
  <c r="G130" i="13"/>
  <c r="H130" i="13" s="1"/>
  <c r="G129" i="13"/>
  <c r="H129" i="13" s="1"/>
  <c r="G128" i="13"/>
  <c r="H128" i="13" s="1"/>
  <c r="G126" i="13"/>
  <c r="H126" i="13" s="1"/>
  <c r="G125" i="13"/>
  <c r="H125" i="13" s="1"/>
  <c r="G124" i="13"/>
  <c r="H124" i="13" s="1"/>
  <c r="G123" i="13"/>
  <c r="H123" i="13" s="1"/>
  <c r="G122" i="13"/>
  <c r="H122" i="13" s="1"/>
  <c r="G121" i="13"/>
  <c r="H121" i="13" s="1"/>
  <c r="G120" i="13"/>
  <c r="H120" i="13" s="1"/>
  <c r="G117" i="13"/>
  <c r="H117" i="13" s="1"/>
  <c r="G111" i="13"/>
  <c r="H111" i="13" s="1"/>
  <c r="G110" i="13"/>
  <c r="H110" i="13" s="1"/>
  <c r="G109" i="13"/>
  <c r="H109" i="13" s="1"/>
  <c r="G108" i="13"/>
  <c r="H108" i="13" s="1"/>
  <c r="G107" i="13"/>
  <c r="H107" i="13" s="1"/>
  <c r="G105" i="13"/>
  <c r="H105" i="13" s="1"/>
  <c r="G104" i="13"/>
  <c r="H104" i="13" s="1"/>
  <c r="G103" i="13"/>
  <c r="H103" i="13" s="1"/>
  <c r="G102" i="13"/>
  <c r="H102" i="13" s="1"/>
  <c r="G101" i="13"/>
  <c r="H101" i="13" s="1"/>
  <c r="G100" i="13"/>
  <c r="H100" i="13" s="1"/>
  <c r="G99" i="13"/>
  <c r="H99" i="13" s="1"/>
  <c r="G98" i="13"/>
  <c r="H98" i="13" s="1"/>
  <c r="G96" i="13"/>
  <c r="H96" i="13" s="1"/>
  <c r="G90" i="13"/>
  <c r="H90" i="13" s="1"/>
  <c r="G89" i="13"/>
  <c r="H89" i="13" s="1"/>
  <c r="G88" i="13"/>
  <c r="H88" i="13" s="1"/>
  <c r="G87" i="13"/>
  <c r="H87" i="13" s="1"/>
  <c r="G86" i="13"/>
  <c r="H86" i="13" s="1"/>
  <c r="G84" i="13"/>
  <c r="H84" i="13" s="1"/>
  <c r="G83" i="13"/>
  <c r="H83" i="13" s="1"/>
  <c r="G82" i="13"/>
  <c r="H82" i="13" s="1"/>
  <c r="G81" i="13"/>
  <c r="H81" i="13" s="1"/>
  <c r="G80" i="13"/>
  <c r="H80" i="13" s="1"/>
  <c r="G79" i="13"/>
  <c r="H79" i="13" s="1"/>
  <c r="G78" i="13"/>
  <c r="H78" i="13" s="1"/>
  <c r="G77" i="13"/>
  <c r="H77" i="13" s="1"/>
  <c r="G76" i="13"/>
  <c r="H76" i="13" s="1"/>
  <c r="G75" i="13"/>
  <c r="H75" i="13" s="1"/>
  <c r="G73" i="13"/>
  <c r="H73" i="13" s="1"/>
  <c r="G69" i="13"/>
  <c r="H69" i="13" s="1"/>
  <c r="G68" i="13"/>
  <c r="H68" i="13" s="1"/>
  <c r="G67" i="13"/>
  <c r="H67" i="13" s="1"/>
  <c r="G66" i="13"/>
  <c r="H66" i="13" s="1"/>
  <c r="G65" i="13"/>
  <c r="H65" i="13" s="1"/>
  <c r="G63" i="13"/>
  <c r="H63" i="13" s="1"/>
  <c r="G62" i="13"/>
  <c r="H62" i="13" s="1"/>
  <c r="G61" i="13"/>
  <c r="H61" i="13" s="1"/>
  <c r="G60" i="13"/>
  <c r="H60" i="13" s="1"/>
  <c r="G59" i="13"/>
  <c r="H59" i="13" s="1"/>
  <c r="G58" i="13"/>
  <c r="H58" i="13" s="1"/>
  <c r="G57" i="13"/>
  <c r="H57" i="13" s="1"/>
  <c r="G56" i="13"/>
  <c r="H56" i="13" s="1"/>
  <c r="G55" i="13"/>
  <c r="H55" i="13" s="1"/>
  <c r="G54" i="13"/>
  <c r="H54" i="13" s="1"/>
  <c r="G53" i="13"/>
  <c r="H53" i="13" s="1"/>
  <c r="G52" i="13"/>
  <c r="H52" i="13" s="1"/>
  <c r="G48" i="13"/>
  <c r="H48" i="13" s="1"/>
  <c r="G47" i="13"/>
  <c r="H47" i="13" s="1"/>
  <c r="G46" i="13"/>
  <c r="H46" i="13" s="1"/>
  <c r="G45" i="13"/>
  <c r="H45" i="13" s="1"/>
  <c r="G44" i="13"/>
  <c r="H44" i="13" s="1"/>
  <c r="G42" i="13"/>
  <c r="H42" i="13" s="1"/>
  <c r="G41" i="13"/>
  <c r="H41" i="13" s="1"/>
  <c r="G40" i="13"/>
  <c r="H40" i="13" s="1"/>
  <c r="G39" i="13"/>
  <c r="H39" i="13" s="1"/>
  <c r="G38" i="13"/>
  <c r="H38" i="13" s="1"/>
  <c r="G37" i="13"/>
  <c r="H37" i="13" s="1"/>
  <c r="G36" i="13"/>
  <c r="H36" i="13" s="1"/>
  <c r="G35" i="13"/>
  <c r="H35" i="13" s="1"/>
  <c r="G34" i="13"/>
  <c r="H34" i="13" s="1"/>
  <c r="G33" i="13"/>
  <c r="H33" i="13" s="1"/>
  <c r="G31" i="13"/>
  <c r="H31" i="13" s="1"/>
  <c r="G27" i="13"/>
  <c r="H27" i="13" s="1"/>
  <c r="G26" i="13"/>
  <c r="H26" i="13" s="1"/>
  <c r="G25" i="13"/>
  <c r="H25" i="13" s="1"/>
  <c r="G24" i="13"/>
  <c r="H24" i="13" s="1"/>
  <c r="G23" i="13"/>
  <c r="H23" i="13" s="1"/>
  <c r="G21" i="13"/>
  <c r="H21" i="13" s="1"/>
  <c r="G20" i="13"/>
  <c r="H20" i="13" s="1"/>
  <c r="G19" i="13"/>
  <c r="H19" i="13" s="1"/>
  <c r="G18" i="13"/>
  <c r="H18" i="13" s="1"/>
  <c r="G17" i="13"/>
  <c r="H17" i="13" s="1"/>
  <c r="G16" i="13"/>
  <c r="H16" i="13" s="1"/>
  <c r="G15" i="13"/>
  <c r="H15" i="13" s="1"/>
  <c r="G14" i="13"/>
  <c r="H14" i="13" s="1"/>
  <c r="G13" i="13"/>
  <c r="H13" i="13" s="1"/>
  <c r="G10" i="13"/>
  <c r="H10" i="13" s="1"/>
  <c r="G69" i="12"/>
  <c r="H69" i="12" s="1"/>
  <c r="G68" i="12"/>
  <c r="H68" i="12" s="1"/>
  <c r="G67" i="12"/>
  <c r="H67" i="12" s="1"/>
  <c r="G66" i="12"/>
  <c r="H66" i="12" s="1"/>
  <c r="G65" i="12"/>
  <c r="H65" i="12" s="1"/>
  <c r="G63" i="12"/>
  <c r="H63" i="12" s="1"/>
  <c r="G62" i="12"/>
  <c r="H62" i="12" s="1"/>
  <c r="G61" i="12"/>
  <c r="H61" i="12" s="1"/>
  <c r="G60" i="12"/>
  <c r="H60" i="12" s="1"/>
  <c r="G59" i="12"/>
  <c r="H59" i="12" s="1"/>
  <c r="G58" i="12"/>
  <c r="H58" i="12" s="1"/>
  <c r="G57" i="12"/>
  <c r="H57" i="12" s="1"/>
  <c r="G56" i="12"/>
  <c r="H56" i="12" s="1"/>
  <c r="G55" i="12"/>
  <c r="H55" i="12" s="1"/>
  <c r="G54" i="12"/>
  <c r="H54" i="12" s="1"/>
  <c r="G53" i="12"/>
  <c r="H53" i="12" s="1"/>
  <c r="G52" i="12"/>
  <c r="H52" i="12" s="1"/>
  <c r="G48" i="12"/>
  <c r="H48" i="12" s="1"/>
  <c r="G47" i="12"/>
  <c r="H47" i="12" s="1"/>
  <c r="G46" i="12"/>
  <c r="H46" i="12" s="1"/>
  <c r="G45" i="12"/>
  <c r="H45" i="12" s="1"/>
  <c r="G44" i="12"/>
  <c r="H44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27" i="12"/>
  <c r="H27" i="12" s="1"/>
  <c r="G26" i="12"/>
  <c r="H26" i="12" s="1"/>
  <c r="G25" i="12"/>
  <c r="H25" i="12" s="1"/>
  <c r="G24" i="12"/>
  <c r="H24" i="12" s="1"/>
  <c r="G23" i="12"/>
  <c r="H23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35" i="11"/>
  <c r="H135" i="11" s="1"/>
  <c r="G134" i="11"/>
  <c r="H134" i="11" s="1"/>
  <c r="G133" i="11"/>
  <c r="H133" i="11" s="1"/>
  <c r="G132" i="11"/>
  <c r="H132" i="11" s="1"/>
  <c r="G131" i="11"/>
  <c r="H131" i="11" s="1"/>
  <c r="G129" i="11"/>
  <c r="H129" i="11" s="1"/>
  <c r="G128" i="11"/>
  <c r="H128" i="11" s="1"/>
  <c r="G127" i="11"/>
  <c r="H127" i="11" s="1"/>
  <c r="G126" i="11"/>
  <c r="H126" i="11" s="1"/>
  <c r="G125" i="11"/>
  <c r="H125" i="11" s="1"/>
  <c r="G124" i="11"/>
  <c r="H124" i="11" s="1"/>
  <c r="G123" i="11"/>
  <c r="H123" i="11" s="1"/>
  <c r="G122" i="11"/>
  <c r="H122" i="11" s="1"/>
  <c r="G121" i="11"/>
  <c r="H121" i="11" s="1"/>
  <c r="G120" i="11"/>
  <c r="H120" i="11" s="1"/>
  <c r="G119" i="11"/>
  <c r="H119" i="11" s="1"/>
  <c r="G118" i="11"/>
  <c r="H118" i="11" s="1"/>
  <c r="G114" i="11"/>
  <c r="H114" i="11" s="1"/>
  <c r="G113" i="11"/>
  <c r="H113" i="11" s="1"/>
  <c r="G112" i="11"/>
  <c r="H112" i="11" s="1"/>
  <c r="G111" i="11"/>
  <c r="H111" i="11" s="1"/>
  <c r="G110" i="11"/>
  <c r="H110" i="11" s="1"/>
  <c r="G108" i="11"/>
  <c r="H108" i="11" s="1"/>
  <c r="G107" i="11"/>
  <c r="H107" i="11" s="1"/>
  <c r="G106" i="11"/>
  <c r="H106" i="11" s="1"/>
  <c r="G105" i="11"/>
  <c r="H105" i="11" s="1"/>
  <c r="G104" i="11"/>
  <c r="H104" i="11" s="1"/>
  <c r="G103" i="11"/>
  <c r="H103" i="11" s="1"/>
  <c r="G102" i="11"/>
  <c r="H102" i="11" s="1"/>
  <c r="G93" i="11"/>
  <c r="H93" i="11" s="1"/>
  <c r="G92" i="11"/>
  <c r="H92" i="11" s="1"/>
  <c r="G91" i="11"/>
  <c r="H91" i="11" s="1"/>
  <c r="G90" i="11"/>
  <c r="H90" i="11" s="1"/>
  <c r="G89" i="11"/>
  <c r="H89" i="11" s="1"/>
  <c r="G87" i="11"/>
  <c r="H87" i="11" s="1"/>
  <c r="G86" i="11"/>
  <c r="H86" i="11" s="1"/>
  <c r="G81" i="11"/>
  <c r="H81" i="11" s="1"/>
  <c r="G77" i="11"/>
  <c r="H77" i="11" s="1"/>
  <c r="G73" i="11"/>
  <c r="H73" i="11" s="1"/>
  <c r="G69" i="11"/>
  <c r="H69" i="11" s="1"/>
  <c r="G68" i="11"/>
  <c r="H68" i="11" s="1"/>
  <c r="G67" i="11"/>
  <c r="H67" i="11" s="1"/>
  <c r="G66" i="11"/>
  <c r="H66" i="11" s="1"/>
  <c r="G65" i="11"/>
  <c r="H65" i="11" s="1"/>
  <c r="G63" i="11"/>
  <c r="H63" i="11" s="1"/>
  <c r="G62" i="11"/>
  <c r="H62" i="11" s="1"/>
  <c r="G61" i="11"/>
  <c r="H61" i="11" s="1"/>
  <c r="G60" i="11"/>
  <c r="H60" i="11" s="1"/>
  <c r="G59" i="11"/>
  <c r="H59" i="11" s="1"/>
  <c r="G53" i="11"/>
  <c r="H53" i="11" s="1"/>
  <c r="G52" i="11"/>
  <c r="H52" i="11" s="1"/>
  <c r="G48" i="11"/>
  <c r="H48" i="11" s="1"/>
  <c r="G47" i="11"/>
  <c r="H47" i="11" s="1"/>
  <c r="G46" i="11"/>
  <c r="H46" i="11" s="1"/>
  <c r="G45" i="11"/>
  <c r="H45" i="11" s="1"/>
  <c r="G44" i="11"/>
  <c r="H44" i="11" s="1"/>
  <c r="G42" i="11"/>
  <c r="H42" i="11" s="1"/>
  <c r="G41" i="11"/>
  <c r="H41" i="11" s="1"/>
  <c r="G40" i="11"/>
  <c r="H40" i="11" s="1"/>
  <c r="G39" i="11"/>
  <c r="H39" i="11" s="1"/>
  <c r="G38" i="11"/>
  <c r="H38" i="11" s="1"/>
  <c r="G37" i="11"/>
  <c r="H37" i="11" s="1"/>
  <c r="G36" i="11"/>
  <c r="H36" i="11" s="1"/>
  <c r="G33" i="11"/>
  <c r="H33" i="11" s="1"/>
  <c r="G31" i="11"/>
  <c r="H31" i="11" s="1"/>
  <c r="G27" i="11"/>
  <c r="H27" i="11" s="1"/>
  <c r="G26" i="11"/>
  <c r="H26" i="11" s="1"/>
  <c r="G25" i="11"/>
  <c r="H25" i="11" s="1"/>
  <c r="G24" i="11"/>
  <c r="H24" i="11" s="1"/>
  <c r="G23" i="11"/>
  <c r="H23" i="11" s="1"/>
  <c r="G21" i="11"/>
  <c r="H21" i="11" s="1"/>
  <c r="G20" i="11"/>
  <c r="H20" i="11" s="1"/>
  <c r="G19" i="11"/>
  <c r="H19" i="11" s="1"/>
  <c r="G18" i="11"/>
  <c r="H18" i="11" s="1"/>
  <c r="G17" i="11"/>
  <c r="H17" i="11" s="1"/>
  <c r="G16" i="11"/>
  <c r="H16" i="11" s="1"/>
  <c r="G15" i="11"/>
  <c r="H15" i="11" s="1"/>
  <c r="G12" i="11"/>
  <c r="H12" i="11" s="1"/>
  <c r="G11" i="11"/>
  <c r="H11" i="11" s="1"/>
  <c r="G10" i="11"/>
  <c r="H10" i="11" s="1"/>
  <c r="G153" i="10"/>
  <c r="H153" i="10" s="1"/>
  <c r="G152" i="10"/>
  <c r="H152" i="10" s="1"/>
  <c r="G151" i="10"/>
  <c r="H151" i="10" s="1"/>
  <c r="G150" i="10"/>
  <c r="H150" i="10" s="1"/>
  <c r="G147" i="10"/>
  <c r="H147" i="10" s="1"/>
  <c r="G146" i="10"/>
  <c r="H146" i="10" s="1"/>
  <c r="G145" i="10"/>
  <c r="H145" i="10" s="1"/>
  <c r="G144" i="10"/>
  <c r="H144" i="10" s="1"/>
  <c r="G143" i="10"/>
  <c r="H143" i="10" s="1"/>
  <c r="G132" i="10"/>
  <c r="H132" i="10" s="1"/>
  <c r="G131" i="10"/>
  <c r="H131" i="10" s="1"/>
  <c r="G130" i="10"/>
  <c r="H130" i="10" s="1"/>
  <c r="G129" i="10"/>
  <c r="H129" i="10" s="1"/>
  <c r="G126" i="10"/>
  <c r="H126" i="10" s="1"/>
  <c r="G125" i="10"/>
  <c r="H125" i="10" s="1"/>
  <c r="G124" i="10"/>
  <c r="H124" i="10" s="1"/>
  <c r="G123" i="10"/>
  <c r="H123" i="10" s="1"/>
  <c r="G122" i="10"/>
  <c r="H122" i="10" s="1"/>
  <c r="G111" i="10"/>
  <c r="H111" i="10" s="1"/>
  <c r="G110" i="10"/>
  <c r="H110" i="10" s="1"/>
  <c r="G109" i="10"/>
  <c r="H109" i="10" s="1"/>
  <c r="G108" i="10"/>
  <c r="H108" i="10" s="1"/>
  <c r="G107" i="10"/>
  <c r="H107" i="10" s="1"/>
  <c r="G105" i="10"/>
  <c r="H105" i="10" s="1"/>
  <c r="G104" i="10"/>
  <c r="H104" i="10" s="1"/>
  <c r="G103" i="10"/>
  <c r="H103" i="10" s="1"/>
  <c r="G102" i="10"/>
  <c r="H102" i="10" s="1"/>
  <c r="G101" i="10"/>
  <c r="H101" i="10" s="1"/>
  <c r="G100" i="10"/>
  <c r="H100" i="10" s="1"/>
  <c r="G90" i="10"/>
  <c r="H90" i="10" s="1"/>
  <c r="G89" i="10"/>
  <c r="H89" i="10" s="1"/>
  <c r="G88" i="10"/>
  <c r="H88" i="10" s="1"/>
  <c r="G87" i="10"/>
  <c r="H87" i="10" s="1"/>
  <c r="G86" i="10"/>
  <c r="H86" i="10" s="1"/>
  <c r="G84" i="10"/>
  <c r="H84" i="10" s="1"/>
  <c r="G83" i="10"/>
  <c r="H83" i="10" s="1"/>
  <c r="G82" i="10"/>
  <c r="H82" i="10" s="1"/>
  <c r="G81" i="10"/>
  <c r="H81" i="10" s="1"/>
  <c r="G80" i="10"/>
  <c r="H80" i="10" s="1"/>
  <c r="G69" i="10"/>
  <c r="H69" i="10" s="1"/>
  <c r="G68" i="10"/>
  <c r="H68" i="10" s="1"/>
  <c r="G67" i="10"/>
  <c r="H67" i="10" s="1"/>
  <c r="G66" i="10"/>
  <c r="H66" i="10" s="1"/>
  <c r="G65" i="10"/>
  <c r="H65" i="10" s="1"/>
  <c r="G63" i="10"/>
  <c r="H63" i="10" s="1"/>
  <c r="G62" i="10"/>
  <c r="H62" i="10" s="1"/>
  <c r="G61" i="10"/>
  <c r="H61" i="10" s="1"/>
  <c r="G60" i="10"/>
  <c r="H60" i="10" s="1"/>
  <c r="G59" i="10"/>
  <c r="H59" i="10" s="1"/>
  <c r="G57" i="10"/>
  <c r="H57" i="10" s="1"/>
  <c r="G48" i="10"/>
  <c r="H48" i="10" s="1"/>
  <c r="G47" i="10"/>
  <c r="H47" i="10" s="1"/>
  <c r="G46" i="10"/>
  <c r="H46" i="10" s="1"/>
  <c r="G45" i="10"/>
  <c r="H45" i="10" s="1"/>
  <c r="G44" i="10"/>
  <c r="H44" i="10" s="1"/>
  <c r="G42" i="10"/>
  <c r="H42" i="10" s="1"/>
  <c r="G41" i="10"/>
  <c r="H41" i="10" s="1"/>
  <c r="G40" i="10"/>
  <c r="H40" i="10" s="1"/>
  <c r="G39" i="10"/>
  <c r="H39" i="10" s="1"/>
  <c r="G38" i="10"/>
  <c r="H38" i="10" s="1"/>
  <c r="G37" i="10"/>
  <c r="H37" i="10" s="1"/>
  <c r="G36" i="10"/>
  <c r="H36" i="10" s="1"/>
  <c r="G35" i="10"/>
  <c r="H35" i="10" s="1"/>
  <c r="G34" i="10"/>
  <c r="H34" i="10" s="1"/>
  <c r="G27" i="10"/>
  <c r="H27" i="10" s="1"/>
  <c r="G26" i="10"/>
  <c r="H26" i="10" s="1"/>
  <c r="G25" i="10"/>
  <c r="H25" i="10" s="1"/>
  <c r="G24" i="10"/>
  <c r="H24" i="10" s="1"/>
  <c r="G23" i="10"/>
  <c r="H23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1" i="10"/>
  <c r="H11" i="10" s="1"/>
  <c r="G282" i="9"/>
  <c r="H282" i="9" s="1"/>
  <c r="G281" i="9"/>
  <c r="H281" i="9" s="1"/>
  <c r="G280" i="9"/>
  <c r="H280" i="9" s="1"/>
  <c r="G279" i="9"/>
  <c r="H279" i="9" s="1"/>
  <c r="G278" i="9"/>
  <c r="H278" i="9" s="1"/>
  <c r="G276" i="9"/>
  <c r="H276" i="9" s="1"/>
  <c r="G275" i="9"/>
  <c r="H275" i="9" s="1"/>
  <c r="G274" i="9"/>
  <c r="H274" i="9" s="1"/>
  <c r="G273" i="9"/>
  <c r="H273" i="9" s="1"/>
  <c r="G272" i="9"/>
  <c r="H272" i="9" s="1"/>
  <c r="G270" i="9"/>
  <c r="H270" i="9" s="1"/>
  <c r="G269" i="9"/>
  <c r="H269" i="9" s="1"/>
  <c r="G261" i="9"/>
  <c r="H261" i="9" s="1"/>
  <c r="G260" i="9"/>
  <c r="H260" i="9" s="1"/>
  <c r="G259" i="9"/>
  <c r="H259" i="9" s="1"/>
  <c r="G258" i="9"/>
  <c r="H258" i="9" s="1"/>
  <c r="G257" i="9"/>
  <c r="H257" i="9" s="1"/>
  <c r="G255" i="9"/>
  <c r="H255" i="9" s="1"/>
  <c r="G254" i="9"/>
  <c r="H254" i="9" s="1"/>
  <c r="G253" i="9"/>
  <c r="H253" i="9" s="1"/>
  <c r="G251" i="9"/>
  <c r="H251" i="9" s="1"/>
  <c r="G250" i="9"/>
  <c r="H250" i="9" s="1"/>
  <c r="G248" i="9"/>
  <c r="H248" i="9" s="1"/>
  <c r="G240" i="9"/>
  <c r="H240" i="9" s="1"/>
  <c r="G239" i="9"/>
  <c r="H239" i="9" s="1"/>
  <c r="G238" i="9"/>
  <c r="H238" i="9" s="1"/>
  <c r="G237" i="9"/>
  <c r="H237" i="9" s="1"/>
  <c r="G236" i="9"/>
  <c r="H236" i="9" s="1"/>
  <c r="G234" i="9"/>
  <c r="H234" i="9" s="1"/>
  <c r="G233" i="9"/>
  <c r="H233" i="9" s="1"/>
  <c r="G232" i="9"/>
  <c r="H232" i="9" s="1"/>
  <c r="G231" i="9"/>
  <c r="H231" i="9" s="1"/>
  <c r="G230" i="9"/>
  <c r="H230" i="9" s="1"/>
  <c r="G229" i="9"/>
  <c r="H229" i="9" s="1"/>
  <c r="G228" i="9"/>
  <c r="H228" i="9" s="1"/>
  <c r="G227" i="9"/>
  <c r="H227" i="9" s="1"/>
  <c r="G226" i="9"/>
  <c r="H226" i="9" s="1"/>
  <c r="G225" i="9"/>
  <c r="H225" i="9" s="1"/>
  <c r="G224" i="9"/>
  <c r="H224" i="9" s="1"/>
  <c r="G219" i="9"/>
  <c r="H219" i="9" s="1"/>
  <c r="G218" i="9"/>
  <c r="H218" i="9" s="1"/>
  <c r="G217" i="9"/>
  <c r="H217" i="9" s="1"/>
  <c r="G216" i="9"/>
  <c r="H216" i="9" s="1"/>
  <c r="G215" i="9"/>
  <c r="H215" i="9" s="1"/>
  <c r="G213" i="9"/>
  <c r="H213" i="9" s="1"/>
  <c r="G212" i="9"/>
  <c r="H212" i="9" s="1"/>
  <c r="G205" i="9"/>
  <c r="H205" i="9" s="1"/>
  <c r="G201" i="9"/>
  <c r="H201" i="9" s="1"/>
  <c r="G200" i="9"/>
  <c r="H200" i="9" s="1"/>
  <c r="G196" i="9"/>
  <c r="H196" i="9" s="1"/>
  <c r="G195" i="9"/>
  <c r="H195" i="9" s="1"/>
  <c r="G194" i="9"/>
  <c r="H194" i="9" s="1"/>
  <c r="G193" i="9"/>
  <c r="H193" i="9" s="1"/>
  <c r="G192" i="9"/>
  <c r="H192" i="9" s="1"/>
  <c r="G190" i="9"/>
  <c r="H190" i="9" s="1"/>
  <c r="G189" i="9"/>
  <c r="H189" i="9" s="1"/>
  <c r="G185" i="9"/>
  <c r="H185" i="9" s="1"/>
  <c r="G181" i="9"/>
  <c r="H181" i="9" s="1"/>
  <c r="G174" i="9"/>
  <c r="H174" i="9" s="1"/>
  <c r="G173" i="9"/>
  <c r="H173" i="9" s="1"/>
  <c r="G172" i="9"/>
  <c r="H172" i="9" s="1"/>
  <c r="G171" i="9"/>
  <c r="H171" i="9" s="1"/>
  <c r="G170" i="9"/>
  <c r="H170" i="9" s="1"/>
  <c r="G168" i="9"/>
  <c r="H168" i="9" s="1"/>
  <c r="G167" i="9"/>
  <c r="H167" i="9" s="1"/>
  <c r="G166" i="9"/>
  <c r="H166" i="9" s="1"/>
  <c r="G165" i="9"/>
  <c r="H165" i="9" s="1"/>
  <c r="G164" i="9"/>
  <c r="H164" i="9" s="1"/>
  <c r="G163" i="9"/>
  <c r="H163" i="9" s="1"/>
  <c r="G162" i="9"/>
  <c r="H162" i="9" s="1"/>
  <c r="G161" i="9"/>
  <c r="H161" i="9" s="1"/>
  <c r="G159" i="9"/>
  <c r="H159" i="9" s="1"/>
  <c r="G157" i="9"/>
  <c r="H157" i="9" s="1"/>
  <c r="G153" i="9"/>
  <c r="H153" i="9" s="1"/>
  <c r="G152" i="9"/>
  <c r="H152" i="9" s="1"/>
  <c r="G151" i="9"/>
  <c r="H151" i="9" s="1"/>
  <c r="G150" i="9"/>
  <c r="H150" i="9" s="1"/>
  <c r="G149" i="9"/>
  <c r="H149" i="9" s="1"/>
  <c r="G147" i="9"/>
  <c r="H147" i="9" s="1"/>
  <c r="G146" i="9"/>
  <c r="H146" i="9" s="1"/>
  <c r="G145" i="9"/>
  <c r="H145" i="9" s="1"/>
  <c r="G144" i="9"/>
  <c r="H144" i="9" s="1"/>
  <c r="G143" i="9"/>
  <c r="H143" i="9" s="1"/>
  <c r="G142" i="9"/>
  <c r="H142" i="9" s="1"/>
  <c r="G141" i="9"/>
  <c r="H141" i="9" s="1"/>
  <c r="G140" i="9"/>
  <c r="H140" i="9" s="1"/>
  <c r="G139" i="9"/>
  <c r="H139" i="9" s="1"/>
  <c r="G137" i="9"/>
  <c r="H137" i="9" s="1"/>
  <c r="G136" i="9"/>
  <c r="H136" i="9" s="1"/>
  <c r="G132" i="9"/>
  <c r="H132" i="9" s="1"/>
  <c r="G131" i="9"/>
  <c r="H131" i="9" s="1"/>
  <c r="G130" i="9"/>
  <c r="H130" i="9" s="1"/>
  <c r="G129" i="9"/>
  <c r="H129" i="9" s="1"/>
  <c r="G128" i="9"/>
  <c r="H128" i="9" s="1"/>
  <c r="G126" i="9"/>
  <c r="H126" i="9" s="1"/>
  <c r="G125" i="9"/>
  <c r="H125" i="9" s="1"/>
  <c r="G124" i="9"/>
  <c r="H124" i="9" s="1"/>
  <c r="G123" i="9"/>
  <c r="H123" i="9" s="1"/>
  <c r="G119" i="9"/>
  <c r="H119" i="9" s="1"/>
  <c r="G115" i="9"/>
  <c r="H115" i="9" s="1"/>
  <c r="G111" i="9"/>
  <c r="H111" i="9" s="1"/>
  <c r="G110" i="9"/>
  <c r="H110" i="9" s="1"/>
  <c r="G109" i="9"/>
  <c r="H109" i="9" s="1"/>
  <c r="G108" i="9"/>
  <c r="H108" i="9" s="1"/>
  <c r="G107" i="9"/>
  <c r="H107" i="9" s="1"/>
  <c r="G105" i="9"/>
  <c r="H105" i="9" s="1"/>
  <c r="G104" i="9"/>
  <c r="H104" i="9" s="1"/>
  <c r="G103" i="9"/>
  <c r="H103" i="9" s="1"/>
  <c r="G100" i="9"/>
  <c r="H100" i="9" s="1"/>
  <c r="G98" i="9"/>
  <c r="H98" i="9" s="1"/>
  <c r="G90" i="9"/>
  <c r="H90" i="9" s="1"/>
  <c r="G89" i="9"/>
  <c r="H89" i="9" s="1"/>
  <c r="G88" i="9"/>
  <c r="H88" i="9" s="1"/>
  <c r="G87" i="9"/>
  <c r="H87" i="9" s="1"/>
  <c r="G84" i="9"/>
  <c r="H84" i="9" s="1"/>
  <c r="G83" i="9"/>
  <c r="H83" i="9" s="1"/>
  <c r="G82" i="9"/>
  <c r="H82" i="9" s="1"/>
  <c r="G81" i="9"/>
  <c r="H81" i="9" s="1"/>
  <c r="G79" i="9"/>
  <c r="H79" i="9" s="1"/>
  <c r="G73" i="9"/>
  <c r="H73" i="9" s="1"/>
  <c r="G69" i="9"/>
  <c r="H69" i="9" s="1"/>
  <c r="G68" i="9"/>
  <c r="H68" i="9" s="1"/>
  <c r="G67" i="9"/>
  <c r="H67" i="9" s="1"/>
  <c r="G66" i="9"/>
  <c r="H66" i="9" s="1"/>
  <c r="G65" i="9"/>
  <c r="H65" i="9" s="1"/>
  <c r="G63" i="9"/>
  <c r="H63" i="9" s="1"/>
  <c r="G62" i="9"/>
  <c r="H62" i="9" s="1"/>
  <c r="G59" i="9"/>
  <c r="H59" i="9" s="1"/>
  <c r="G53" i="9"/>
  <c r="H53" i="9" s="1"/>
  <c r="G52" i="9"/>
  <c r="H52" i="9" s="1"/>
  <c r="G48" i="9"/>
  <c r="H48" i="9" s="1"/>
  <c r="G47" i="9"/>
  <c r="H47" i="9" s="1"/>
  <c r="G46" i="9"/>
  <c r="H46" i="9" s="1"/>
  <c r="G45" i="9"/>
  <c r="H45" i="9" s="1"/>
  <c r="G44" i="9"/>
  <c r="H44" i="9" s="1"/>
  <c r="G42" i="9"/>
  <c r="H42" i="9" s="1"/>
  <c r="G41" i="9"/>
  <c r="H41" i="9" s="1"/>
  <c r="G40" i="9"/>
  <c r="H40" i="9" s="1"/>
  <c r="G39" i="9"/>
  <c r="H39" i="9" s="1"/>
  <c r="G37" i="9"/>
  <c r="H37" i="9" s="1"/>
  <c r="G36" i="9"/>
  <c r="H36" i="9" s="1"/>
  <c r="G32" i="9"/>
  <c r="H32" i="9" s="1"/>
  <c r="G27" i="9"/>
  <c r="H27" i="9" s="1"/>
  <c r="G26" i="9"/>
  <c r="H26" i="9" s="1"/>
  <c r="G25" i="9"/>
  <c r="H25" i="9" s="1"/>
  <c r="G24" i="9"/>
  <c r="H24" i="9" s="1"/>
  <c r="G23" i="9"/>
  <c r="H23" i="9" s="1"/>
  <c r="G21" i="9"/>
  <c r="H21" i="9" s="1"/>
  <c r="G20" i="9"/>
  <c r="H20" i="9" s="1"/>
  <c r="G16" i="9"/>
  <c r="H16" i="9" s="1"/>
  <c r="G13" i="9"/>
  <c r="H13" i="9" s="1"/>
  <c r="G11" i="9"/>
  <c r="H11" i="9" s="1"/>
  <c r="G197" i="8"/>
  <c r="H197" i="8" s="1"/>
  <c r="G196" i="8"/>
  <c r="H196" i="8" s="1"/>
  <c r="G195" i="8"/>
  <c r="H195" i="8" s="1"/>
  <c r="G194" i="8"/>
  <c r="H194" i="8" s="1"/>
  <c r="G191" i="8"/>
  <c r="H191" i="8" s="1"/>
  <c r="G190" i="8"/>
  <c r="H190" i="8" s="1"/>
  <c r="G189" i="8"/>
  <c r="H189" i="8" s="1"/>
  <c r="G188" i="8"/>
  <c r="H188" i="8" s="1"/>
  <c r="G176" i="8"/>
  <c r="H176" i="8" s="1"/>
  <c r="G175" i="8"/>
  <c r="H175" i="8" s="1"/>
  <c r="G174" i="8"/>
  <c r="H174" i="8" s="1"/>
  <c r="G170" i="8"/>
  <c r="H170" i="8" s="1"/>
  <c r="G169" i="8"/>
  <c r="H169" i="8" s="1"/>
  <c r="G168" i="8"/>
  <c r="H168" i="8" s="1"/>
  <c r="G167" i="8"/>
  <c r="H167" i="8" s="1"/>
  <c r="G166" i="8"/>
  <c r="H166" i="8" s="1"/>
  <c r="G155" i="8"/>
  <c r="H155" i="8" s="1"/>
  <c r="G154" i="8"/>
  <c r="H154" i="8" s="1"/>
  <c r="G153" i="8"/>
  <c r="H153" i="8" s="1"/>
  <c r="G152" i="8"/>
  <c r="H152" i="8" s="1"/>
  <c r="G149" i="8"/>
  <c r="H149" i="8" s="1"/>
  <c r="G148" i="8"/>
  <c r="H148" i="8" s="1"/>
  <c r="G147" i="8"/>
  <c r="H147" i="8" s="1"/>
  <c r="G146" i="8"/>
  <c r="H146" i="8" s="1"/>
  <c r="G139" i="8"/>
  <c r="H139" i="8" s="1"/>
  <c r="G138" i="8"/>
  <c r="H138" i="8" s="1"/>
  <c r="G134" i="8"/>
  <c r="H134" i="8" s="1"/>
  <c r="G133" i="8"/>
  <c r="H133" i="8" s="1"/>
  <c r="G132" i="8"/>
  <c r="H132" i="8" s="1"/>
  <c r="G131" i="8"/>
  <c r="H131" i="8" s="1"/>
  <c r="G128" i="8"/>
  <c r="H128" i="8" s="1"/>
  <c r="G127" i="8"/>
  <c r="H127" i="8" s="1"/>
  <c r="G126" i="8"/>
  <c r="H126" i="8" s="1"/>
  <c r="G125" i="8"/>
  <c r="H125" i="8" s="1"/>
  <c r="G118" i="8"/>
  <c r="H118" i="8" s="1"/>
  <c r="G117" i="8"/>
  <c r="H117" i="8" s="1"/>
  <c r="G113" i="8"/>
  <c r="H113" i="8" s="1"/>
  <c r="G112" i="8"/>
  <c r="H112" i="8" s="1"/>
  <c r="G111" i="8"/>
  <c r="H111" i="8" s="1"/>
  <c r="G110" i="8"/>
  <c r="H110" i="8" s="1"/>
  <c r="G109" i="8"/>
  <c r="H109" i="8" s="1"/>
  <c r="G107" i="8"/>
  <c r="H107" i="8" s="1"/>
  <c r="G106" i="8"/>
  <c r="H106" i="8" s="1"/>
  <c r="G98" i="8"/>
  <c r="H98" i="8" s="1"/>
  <c r="G97" i="8"/>
  <c r="H97" i="8" s="1"/>
  <c r="G96" i="8"/>
  <c r="H96" i="8" s="1"/>
  <c r="G95" i="8"/>
  <c r="H95" i="8" s="1"/>
  <c r="G91" i="8"/>
  <c r="H91" i="8" s="1"/>
  <c r="G90" i="8"/>
  <c r="H90" i="8" s="1"/>
  <c r="G89" i="8"/>
  <c r="H89" i="8" s="1"/>
  <c r="G88" i="8"/>
  <c r="H88" i="8" s="1"/>
  <c r="G87" i="8"/>
  <c r="H87" i="8" s="1"/>
  <c r="G85" i="8"/>
  <c r="H85" i="8" s="1"/>
  <c r="G84" i="8"/>
  <c r="H84" i="8" s="1"/>
  <c r="G78" i="8"/>
  <c r="H78" i="8" s="1"/>
  <c r="G77" i="8"/>
  <c r="H77" i="8" s="1"/>
  <c r="G75" i="8"/>
  <c r="H75" i="8" s="1"/>
  <c r="G69" i="8"/>
  <c r="H69" i="8" s="1"/>
  <c r="G68" i="8"/>
  <c r="H68" i="8" s="1"/>
  <c r="G67" i="8"/>
  <c r="H67" i="8" s="1"/>
  <c r="G66" i="8"/>
  <c r="H66" i="8" s="1"/>
  <c r="G65" i="8"/>
  <c r="H65" i="8" s="1"/>
  <c r="G63" i="8"/>
  <c r="H63" i="8" s="1"/>
  <c r="G62" i="8"/>
  <c r="H62" i="8" s="1"/>
  <c r="G61" i="8"/>
  <c r="H61" i="8" s="1"/>
  <c r="G60" i="8"/>
  <c r="H60" i="8" s="1"/>
  <c r="G56" i="8"/>
  <c r="H56" i="8" s="1"/>
  <c r="G55" i="8"/>
  <c r="H55" i="8" s="1"/>
  <c r="G52" i="8"/>
  <c r="H52" i="8" s="1"/>
  <c r="G48" i="8"/>
  <c r="H48" i="8" s="1"/>
  <c r="G47" i="8"/>
  <c r="H47" i="8" s="1"/>
  <c r="G46" i="8"/>
  <c r="H46" i="8" s="1"/>
  <c r="G45" i="8"/>
  <c r="H45" i="8" s="1"/>
  <c r="G42" i="8"/>
  <c r="H42" i="8" s="1"/>
  <c r="G41" i="8"/>
  <c r="H41" i="8" s="1"/>
  <c r="G40" i="8"/>
  <c r="H40" i="8" s="1"/>
  <c r="G39" i="8"/>
  <c r="H39" i="8" s="1"/>
  <c r="G38" i="8"/>
  <c r="H38" i="8" s="1"/>
  <c r="G34" i="8"/>
  <c r="H34" i="8" s="1"/>
  <c r="G32" i="8"/>
  <c r="H32" i="8" s="1"/>
  <c r="G31" i="8"/>
  <c r="H31" i="8" s="1"/>
  <c r="G27" i="8"/>
  <c r="H27" i="8" s="1"/>
  <c r="G26" i="8"/>
  <c r="H26" i="8" s="1"/>
  <c r="G25" i="8"/>
  <c r="H25" i="8" s="1"/>
  <c r="G24" i="8"/>
  <c r="H24" i="8" s="1"/>
  <c r="G23" i="8"/>
  <c r="H23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0" i="8"/>
  <c r="H10" i="8" s="1"/>
  <c r="G279" i="7"/>
  <c r="H279" i="7" s="1"/>
  <c r="G278" i="7"/>
  <c r="H278" i="7" s="1"/>
  <c r="G277" i="7"/>
  <c r="H277" i="7" s="1"/>
  <c r="G276" i="7"/>
  <c r="H276" i="7" s="1"/>
  <c r="G273" i="7"/>
  <c r="H273" i="7" s="1"/>
  <c r="G272" i="7"/>
  <c r="H272" i="7" s="1"/>
  <c r="G271" i="7"/>
  <c r="H271" i="7" s="1"/>
  <c r="G270" i="7"/>
  <c r="H270" i="7" s="1"/>
  <c r="G269" i="7"/>
  <c r="H269" i="7" s="1"/>
  <c r="G268" i="7"/>
  <c r="H268" i="7" s="1"/>
  <c r="G267" i="7"/>
  <c r="H267" i="7" s="1"/>
  <c r="G266" i="7"/>
  <c r="H266" i="7" s="1"/>
  <c r="G265" i="7"/>
  <c r="H265" i="7" s="1"/>
  <c r="G264" i="7"/>
  <c r="H264" i="7" s="1"/>
  <c r="G258" i="7"/>
  <c r="H258" i="7" s="1"/>
  <c r="G257" i="7"/>
  <c r="H257" i="7" s="1"/>
  <c r="G256" i="7"/>
  <c r="H256" i="7" s="1"/>
  <c r="G254" i="7"/>
  <c r="H254" i="7" s="1"/>
  <c r="G252" i="7"/>
  <c r="H252" i="7" s="1"/>
  <c r="G251" i="7"/>
  <c r="H251" i="7" s="1"/>
  <c r="G250" i="7"/>
  <c r="H250" i="7" s="1"/>
  <c r="G249" i="7"/>
  <c r="H249" i="7" s="1"/>
  <c r="G248" i="7"/>
  <c r="H248" i="7" s="1"/>
  <c r="G247" i="7"/>
  <c r="H247" i="7" s="1"/>
  <c r="G246" i="7"/>
  <c r="H246" i="7" s="1"/>
  <c r="G245" i="7"/>
  <c r="H245" i="7" s="1"/>
  <c r="G237" i="7"/>
  <c r="H237" i="7" s="1"/>
  <c r="G236" i="7"/>
  <c r="H236" i="7" s="1"/>
  <c r="G235" i="7"/>
  <c r="H235" i="7" s="1"/>
  <c r="G233" i="7"/>
  <c r="H233" i="7" s="1"/>
  <c r="G231" i="7"/>
  <c r="H231" i="7" s="1"/>
  <c r="G230" i="7"/>
  <c r="H230" i="7" s="1"/>
  <c r="G229" i="7"/>
  <c r="H229" i="7" s="1"/>
  <c r="G228" i="7"/>
  <c r="H228" i="7" s="1"/>
  <c r="G224" i="7"/>
  <c r="H224" i="7" s="1"/>
  <c r="G222" i="7"/>
  <c r="H222" i="7" s="1"/>
  <c r="G216" i="7"/>
  <c r="H216" i="7" s="1"/>
  <c r="G215" i="7"/>
  <c r="H215" i="7" s="1"/>
  <c r="G214" i="7"/>
  <c r="H214" i="7" s="1"/>
  <c r="G213" i="7"/>
  <c r="H213" i="7" s="1"/>
  <c r="G210" i="7"/>
  <c r="H210" i="7" s="1"/>
  <c r="G209" i="7"/>
  <c r="H209" i="7" s="1"/>
  <c r="G208" i="7"/>
  <c r="H208" i="7" s="1"/>
  <c r="G207" i="7"/>
  <c r="H207" i="7" s="1"/>
  <c r="G206" i="7"/>
  <c r="H206" i="7" s="1"/>
  <c r="G205" i="7"/>
  <c r="H205" i="7" s="1"/>
  <c r="G203" i="7"/>
  <c r="H203" i="7" s="1"/>
  <c r="G202" i="7"/>
  <c r="H202" i="7" s="1"/>
  <c r="G195" i="7"/>
  <c r="H195" i="7" s="1"/>
  <c r="G194" i="7"/>
  <c r="H194" i="7" s="1"/>
  <c r="G193" i="7"/>
  <c r="H193" i="7" s="1"/>
  <c r="G192" i="7"/>
  <c r="H192" i="7" s="1"/>
  <c r="G189" i="7"/>
  <c r="H189" i="7" s="1"/>
  <c r="G188" i="7"/>
  <c r="H188" i="7" s="1"/>
  <c r="G187" i="7"/>
  <c r="H187" i="7" s="1"/>
  <c r="G186" i="7"/>
  <c r="H186" i="7" s="1"/>
  <c r="G185" i="7"/>
  <c r="H185" i="7" s="1"/>
  <c r="G184" i="7"/>
  <c r="H184" i="7" s="1"/>
  <c r="G183" i="7"/>
  <c r="H183" i="7" s="1"/>
  <c r="G182" i="7"/>
  <c r="H182" i="7" s="1"/>
  <c r="G181" i="7"/>
  <c r="H181" i="7" s="1"/>
  <c r="G178" i="7"/>
  <c r="H178" i="7" s="1"/>
  <c r="G174" i="7"/>
  <c r="H174" i="7" s="1"/>
  <c r="G173" i="7"/>
  <c r="H173" i="7" s="1"/>
  <c r="G172" i="7"/>
  <c r="H172" i="7" s="1"/>
  <c r="G171" i="7"/>
  <c r="H171" i="7" s="1"/>
  <c r="G168" i="7"/>
  <c r="H168" i="7" s="1"/>
  <c r="G167" i="7"/>
  <c r="H167" i="7" s="1"/>
  <c r="G166" i="7"/>
  <c r="H166" i="7" s="1"/>
  <c r="G165" i="7"/>
  <c r="H165" i="7" s="1"/>
  <c r="G164" i="7"/>
  <c r="H164" i="7" s="1"/>
  <c r="G163" i="7"/>
  <c r="H163" i="7" s="1"/>
  <c r="G162" i="7"/>
  <c r="H162" i="7" s="1"/>
  <c r="G153" i="7"/>
  <c r="H153" i="7" s="1"/>
  <c r="G152" i="7"/>
  <c r="H152" i="7" s="1"/>
  <c r="G151" i="7"/>
  <c r="H151" i="7" s="1"/>
  <c r="G150" i="7"/>
  <c r="H150" i="7" s="1"/>
  <c r="G147" i="7"/>
  <c r="H147" i="7" s="1"/>
  <c r="G146" i="7"/>
  <c r="H146" i="7" s="1"/>
  <c r="G145" i="7"/>
  <c r="H145" i="7" s="1"/>
  <c r="G144" i="7"/>
  <c r="H144" i="7" s="1"/>
  <c r="G143" i="7"/>
  <c r="H143" i="7" s="1"/>
  <c r="G142" i="7"/>
  <c r="H142" i="7" s="1"/>
  <c r="G141" i="7"/>
  <c r="H141" i="7" s="1"/>
  <c r="G140" i="7"/>
  <c r="H140" i="7" s="1"/>
  <c r="G136" i="7"/>
  <c r="H136" i="7" s="1"/>
  <c r="G132" i="7"/>
  <c r="H132" i="7" s="1"/>
  <c r="G131" i="7"/>
  <c r="H131" i="7" s="1"/>
  <c r="G130" i="7"/>
  <c r="H130" i="7" s="1"/>
  <c r="G129" i="7"/>
  <c r="H129" i="7" s="1"/>
  <c r="G126" i="7"/>
  <c r="H126" i="7" s="1"/>
  <c r="G125" i="7"/>
  <c r="H125" i="7" s="1"/>
  <c r="G124" i="7"/>
  <c r="H124" i="7" s="1"/>
  <c r="G123" i="7"/>
  <c r="H123" i="7" s="1"/>
  <c r="G122" i="7"/>
  <c r="H122" i="7" s="1"/>
  <c r="G121" i="7"/>
  <c r="H121" i="7" s="1"/>
  <c r="G119" i="7"/>
  <c r="H119" i="7" s="1"/>
  <c r="G115" i="7"/>
  <c r="H115" i="7" s="1"/>
  <c r="G111" i="7"/>
  <c r="H111" i="7" s="1"/>
  <c r="G110" i="7"/>
  <c r="H110" i="7" s="1"/>
  <c r="G109" i="7"/>
  <c r="H109" i="7" s="1"/>
  <c r="G108" i="7"/>
  <c r="H108" i="7" s="1"/>
  <c r="G105" i="7"/>
  <c r="H105" i="7" s="1"/>
  <c r="G104" i="7"/>
  <c r="H104" i="7" s="1"/>
  <c r="G103" i="7"/>
  <c r="H103" i="7" s="1"/>
  <c r="G102" i="7"/>
  <c r="H102" i="7" s="1"/>
  <c r="G101" i="7"/>
  <c r="H101" i="7" s="1"/>
  <c r="G100" i="7"/>
  <c r="H100" i="7" s="1"/>
  <c r="G99" i="7"/>
  <c r="H99" i="7" s="1"/>
  <c r="G98" i="7"/>
  <c r="H98" i="7" s="1"/>
  <c r="G95" i="7"/>
  <c r="H95" i="7" s="1"/>
  <c r="G90" i="7"/>
  <c r="H90" i="7" s="1"/>
  <c r="G89" i="7"/>
  <c r="H89" i="7" s="1"/>
  <c r="G88" i="7"/>
  <c r="H88" i="7" s="1"/>
  <c r="G84" i="7"/>
  <c r="H84" i="7" s="1"/>
  <c r="G83" i="7"/>
  <c r="H83" i="7" s="1"/>
  <c r="G82" i="7"/>
  <c r="H82" i="7" s="1"/>
  <c r="G81" i="7"/>
  <c r="H81" i="7" s="1"/>
  <c r="G80" i="7"/>
  <c r="H80" i="7" s="1"/>
  <c r="G79" i="7"/>
  <c r="H79" i="7" s="1"/>
  <c r="G78" i="7"/>
  <c r="H78" i="7" s="1"/>
  <c r="G77" i="7"/>
  <c r="H77" i="7" s="1"/>
  <c r="G76" i="7"/>
  <c r="H76" i="7" s="1"/>
  <c r="G75" i="7"/>
  <c r="H75" i="7" s="1"/>
  <c r="G74" i="7"/>
  <c r="H74" i="7" s="1"/>
  <c r="G69" i="7"/>
  <c r="H69" i="7" s="1"/>
  <c r="G68" i="7"/>
  <c r="H68" i="7" s="1"/>
  <c r="G67" i="7"/>
  <c r="H67" i="7" s="1"/>
  <c r="G63" i="7"/>
  <c r="H63" i="7" s="1"/>
  <c r="G62" i="7"/>
  <c r="H62" i="7" s="1"/>
  <c r="G61" i="7"/>
  <c r="H61" i="7" s="1"/>
  <c r="G60" i="7"/>
  <c r="H60" i="7" s="1"/>
  <c r="G59" i="7"/>
  <c r="H59" i="7" s="1"/>
  <c r="G58" i="7"/>
  <c r="H58" i="7" s="1"/>
  <c r="G57" i="7"/>
  <c r="H57" i="7" s="1"/>
  <c r="G56" i="7"/>
  <c r="H56" i="7" s="1"/>
  <c r="G55" i="7"/>
  <c r="H55" i="7" s="1"/>
  <c r="G54" i="7"/>
  <c r="H54" i="7" s="1"/>
  <c r="G53" i="7"/>
  <c r="H53" i="7" s="1"/>
  <c r="G48" i="7"/>
  <c r="H48" i="7" s="1"/>
  <c r="G47" i="7"/>
  <c r="H47" i="7" s="1"/>
  <c r="G46" i="7"/>
  <c r="H46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27" i="7"/>
  <c r="H27" i="7" s="1"/>
  <c r="G26" i="7"/>
  <c r="H26" i="7" s="1"/>
  <c r="G25" i="7"/>
  <c r="H25" i="7" s="1"/>
  <c r="G21" i="7"/>
  <c r="H21" i="7" s="1"/>
  <c r="G20" i="7"/>
  <c r="H20" i="7" s="1"/>
  <c r="G19" i="7"/>
  <c r="H19" i="7" s="1"/>
  <c r="G18" i="7"/>
  <c r="H18" i="7" s="1"/>
  <c r="G90" i="6"/>
  <c r="H90" i="6" s="1"/>
  <c r="G89" i="6"/>
  <c r="H89" i="6" s="1"/>
  <c r="G88" i="6"/>
  <c r="H88" i="6" s="1"/>
  <c r="G87" i="6"/>
  <c r="H87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69" i="6"/>
  <c r="H69" i="6" s="1"/>
  <c r="G68" i="6"/>
  <c r="H68" i="6" s="1"/>
  <c r="G67" i="6"/>
  <c r="H67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48" i="6"/>
  <c r="H48" i="6" s="1"/>
  <c r="G47" i="6"/>
  <c r="H47" i="6" s="1"/>
  <c r="G46" i="6"/>
  <c r="H46" i="6" s="1"/>
  <c r="G45" i="6"/>
  <c r="H45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5" i="6"/>
  <c r="H35" i="6" s="1"/>
  <c r="G27" i="6"/>
  <c r="H27" i="6" s="1"/>
  <c r="G26" i="6"/>
  <c r="H26" i="6" s="1"/>
  <c r="G25" i="6"/>
  <c r="H25" i="6" s="1"/>
  <c r="G24" i="6"/>
  <c r="H24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3" i="5"/>
  <c r="H153" i="5" s="1"/>
  <c r="G152" i="5"/>
  <c r="H152" i="5" s="1"/>
  <c r="G147" i="5"/>
  <c r="H147" i="5" s="1"/>
  <c r="G146" i="5"/>
  <c r="H146" i="5" s="1"/>
  <c r="G145" i="5"/>
  <c r="H145" i="5" s="1"/>
  <c r="G144" i="5"/>
  <c r="H144" i="5" s="1"/>
  <c r="G143" i="5"/>
  <c r="H143" i="5" s="1"/>
  <c r="G142" i="5"/>
  <c r="H142" i="5" s="1"/>
  <c r="G141" i="5"/>
  <c r="H141" i="5" s="1"/>
  <c r="G140" i="5"/>
  <c r="H140" i="5" s="1"/>
  <c r="G139" i="5"/>
  <c r="H139" i="5" s="1"/>
  <c r="G132" i="5"/>
  <c r="H132" i="5" s="1"/>
  <c r="G131" i="5"/>
  <c r="H131" i="5" s="1"/>
  <c r="G130" i="5"/>
  <c r="H130" i="5" s="1"/>
  <c r="G129" i="5"/>
  <c r="H129" i="5" s="1"/>
  <c r="G126" i="5"/>
  <c r="H126" i="5" s="1"/>
  <c r="G125" i="5"/>
  <c r="H125" i="5" s="1"/>
  <c r="G124" i="5"/>
  <c r="H124" i="5" s="1"/>
  <c r="G123" i="5"/>
  <c r="H123" i="5" s="1"/>
  <c r="G122" i="5"/>
  <c r="H122" i="5" s="1"/>
  <c r="G121" i="5"/>
  <c r="H121" i="5" s="1"/>
  <c r="G116" i="5"/>
  <c r="H116" i="5" s="1"/>
  <c r="G111" i="5"/>
  <c r="H111" i="5" s="1"/>
  <c r="G110" i="5"/>
  <c r="H110" i="5" s="1"/>
  <c r="G109" i="5"/>
  <c r="H109" i="5" s="1"/>
  <c r="G108" i="5"/>
  <c r="H108" i="5" s="1"/>
  <c r="G105" i="5"/>
  <c r="H105" i="5" s="1"/>
  <c r="G104" i="5"/>
  <c r="H104" i="5" s="1"/>
  <c r="G103" i="5"/>
  <c r="H103" i="5" s="1"/>
  <c r="G102" i="5"/>
  <c r="H102" i="5" s="1"/>
  <c r="G101" i="5"/>
  <c r="H101" i="5" s="1"/>
  <c r="G100" i="5"/>
  <c r="H100" i="5" s="1"/>
  <c r="G99" i="5"/>
  <c r="H99" i="5" s="1"/>
  <c r="G90" i="5"/>
  <c r="H90" i="5" s="1"/>
  <c r="G89" i="5"/>
  <c r="H89" i="5" s="1"/>
  <c r="G88" i="5"/>
  <c r="H88" i="5" s="1"/>
  <c r="G87" i="5"/>
  <c r="H87" i="5" s="1"/>
  <c r="G84" i="5"/>
  <c r="H84" i="5" s="1"/>
  <c r="G83" i="5"/>
  <c r="H83" i="5" s="1"/>
  <c r="G82" i="5"/>
  <c r="H82" i="5" s="1"/>
  <c r="G81" i="5"/>
  <c r="H81" i="5" s="1"/>
  <c r="G80" i="5"/>
  <c r="H80" i="5" s="1"/>
  <c r="G79" i="5"/>
  <c r="H79" i="5" s="1"/>
  <c r="G78" i="5"/>
  <c r="H78" i="5" s="1"/>
  <c r="G77" i="5"/>
  <c r="H77" i="5" s="1"/>
  <c r="G76" i="5"/>
  <c r="H76" i="5" s="1"/>
  <c r="G69" i="5"/>
  <c r="H69" i="5" s="1"/>
  <c r="G68" i="5"/>
  <c r="H68" i="5" s="1"/>
  <c r="G67" i="5"/>
  <c r="H67" i="5" s="1"/>
  <c r="G66" i="5"/>
  <c r="H66" i="5" s="1"/>
  <c r="G63" i="5"/>
  <c r="H63" i="5" s="1"/>
  <c r="G62" i="5"/>
  <c r="H62" i="5" s="1"/>
  <c r="G61" i="5"/>
  <c r="H61" i="5" s="1"/>
  <c r="G60" i="5"/>
  <c r="H60" i="5" s="1"/>
  <c r="G59" i="5"/>
  <c r="H59" i="5" s="1"/>
  <c r="G58" i="5"/>
  <c r="H58" i="5" s="1"/>
  <c r="G57" i="5"/>
  <c r="H57" i="5" s="1"/>
  <c r="G56" i="5"/>
  <c r="H56" i="5" s="1"/>
  <c r="G55" i="5"/>
  <c r="H55" i="5" s="1"/>
  <c r="G48" i="5"/>
  <c r="H48" i="5" s="1"/>
  <c r="G47" i="5"/>
  <c r="H47" i="5" s="1"/>
  <c r="G46" i="5"/>
  <c r="H46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27" i="5"/>
  <c r="H27" i="5" s="1"/>
  <c r="G26" i="5"/>
  <c r="H26" i="5" s="1"/>
  <c r="G25" i="5"/>
  <c r="H25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304" i="4"/>
  <c r="H304" i="4" s="1"/>
  <c r="G303" i="4"/>
  <c r="H303" i="4" s="1"/>
  <c r="G302" i="4"/>
  <c r="H302" i="4" s="1"/>
  <c r="G298" i="4"/>
  <c r="H298" i="4" s="1"/>
  <c r="G297" i="4"/>
  <c r="H297" i="4" s="1"/>
  <c r="G296" i="4"/>
  <c r="H296" i="4" s="1"/>
  <c r="G295" i="4"/>
  <c r="H295" i="4" s="1"/>
  <c r="G294" i="4"/>
  <c r="H294" i="4" s="1"/>
  <c r="G293" i="4"/>
  <c r="H293" i="4" s="1"/>
  <c r="G283" i="4"/>
  <c r="H283" i="4" s="1"/>
  <c r="G282" i="4"/>
  <c r="H282" i="4" s="1"/>
  <c r="G281" i="4"/>
  <c r="H281" i="4" s="1"/>
  <c r="G280" i="4"/>
  <c r="H280" i="4" s="1"/>
  <c r="G279" i="4"/>
  <c r="H279" i="4" s="1"/>
  <c r="G277" i="4"/>
  <c r="H277" i="4" s="1"/>
  <c r="G276" i="4"/>
  <c r="H276" i="4" s="1"/>
  <c r="G262" i="4"/>
  <c r="H262" i="4" s="1"/>
  <c r="G258" i="4"/>
  <c r="H258" i="4" s="1"/>
  <c r="G257" i="4"/>
  <c r="H257" i="4" s="1"/>
  <c r="G256" i="4"/>
  <c r="H256" i="4" s="1"/>
  <c r="G252" i="4"/>
  <c r="H252" i="4" s="1"/>
  <c r="G251" i="4"/>
  <c r="H251" i="4" s="1"/>
  <c r="G250" i="4"/>
  <c r="H250" i="4" s="1"/>
  <c r="G249" i="4"/>
  <c r="H249" i="4" s="1"/>
  <c r="G248" i="4"/>
  <c r="H248" i="4" s="1"/>
  <c r="G247" i="4"/>
  <c r="H247" i="4" s="1"/>
  <c r="G246" i="4"/>
  <c r="H246" i="4" s="1"/>
  <c r="G245" i="4"/>
  <c r="H245" i="4" s="1"/>
  <c r="G244" i="4"/>
  <c r="H244" i="4" s="1"/>
  <c r="G243" i="4"/>
  <c r="H243" i="4" s="1"/>
  <c r="G241" i="4"/>
  <c r="H241" i="4" s="1"/>
  <c r="G237" i="4"/>
  <c r="H237" i="4" s="1"/>
  <c r="G236" i="4"/>
  <c r="H236" i="4" s="1"/>
  <c r="G235" i="4"/>
  <c r="H235" i="4" s="1"/>
  <c r="G234" i="4"/>
  <c r="H234" i="4" s="1"/>
  <c r="G231" i="4"/>
  <c r="H231" i="4" s="1"/>
  <c r="G230" i="4"/>
  <c r="H230" i="4" s="1"/>
  <c r="G229" i="4"/>
  <c r="H229" i="4" s="1"/>
  <c r="G226" i="4"/>
  <c r="H226" i="4" s="1"/>
  <c r="G225" i="4"/>
  <c r="H225" i="4" s="1"/>
  <c r="G223" i="4"/>
  <c r="H223" i="4" s="1"/>
  <c r="G220" i="4"/>
  <c r="H220" i="4" s="1"/>
  <c r="G216" i="4"/>
  <c r="H216" i="4" s="1"/>
  <c r="G215" i="4"/>
  <c r="H215" i="4" s="1"/>
  <c r="G214" i="4"/>
  <c r="H214" i="4" s="1"/>
  <c r="G210" i="4"/>
  <c r="H210" i="4" s="1"/>
  <c r="G209" i="4"/>
  <c r="H209" i="4" s="1"/>
  <c r="G208" i="4"/>
  <c r="H208" i="4" s="1"/>
  <c r="G207" i="4"/>
  <c r="H207" i="4" s="1"/>
  <c r="G206" i="4"/>
  <c r="H206" i="4" s="1"/>
  <c r="G205" i="4"/>
  <c r="H205" i="4" s="1"/>
  <c r="G204" i="4"/>
  <c r="H204" i="4" s="1"/>
  <c r="G203" i="4"/>
  <c r="H203" i="4" s="1"/>
  <c r="G202" i="4"/>
  <c r="H202" i="4" s="1"/>
  <c r="G201" i="4"/>
  <c r="H201" i="4" s="1"/>
  <c r="G195" i="4"/>
  <c r="H195" i="4" s="1"/>
  <c r="G194" i="4"/>
  <c r="H194" i="4" s="1"/>
  <c r="G193" i="4"/>
  <c r="H193" i="4" s="1"/>
  <c r="G192" i="4"/>
  <c r="H192" i="4" s="1"/>
  <c r="G189" i="4"/>
  <c r="H189" i="4" s="1"/>
  <c r="G188" i="4"/>
  <c r="H188" i="4" s="1"/>
  <c r="G187" i="4"/>
  <c r="H187" i="4" s="1"/>
  <c r="G186" i="4"/>
  <c r="H186" i="4" s="1"/>
  <c r="G185" i="4"/>
  <c r="H185" i="4" s="1"/>
  <c r="G184" i="4"/>
  <c r="H184" i="4" s="1"/>
  <c r="G183" i="4"/>
  <c r="H183" i="4" s="1"/>
  <c r="G174" i="4"/>
  <c r="H174" i="4" s="1"/>
  <c r="G173" i="4"/>
  <c r="H173" i="4" s="1"/>
  <c r="G172" i="4"/>
  <c r="H172" i="4" s="1"/>
  <c r="G171" i="4"/>
  <c r="H171" i="4" s="1"/>
  <c r="G168" i="4"/>
  <c r="H168" i="4" s="1"/>
  <c r="G167" i="4"/>
  <c r="H167" i="4" s="1"/>
  <c r="G166" i="4"/>
  <c r="H166" i="4" s="1"/>
  <c r="G165" i="4"/>
  <c r="H165" i="4" s="1"/>
  <c r="G164" i="4"/>
  <c r="H164" i="4" s="1"/>
  <c r="G163" i="4"/>
  <c r="H163" i="4" s="1"/>
  <c r="G162" i="4"/>
  <c r="H162" i="4" s="1"/>
  <c r="G153" i="4"/>
  <c r="H153" i="4" s="1"/>
  <c r="G152" i="4"/>
  <c r="H152" i="4" s="1"/>
  <c r="G151" i="4"/>
  <c r="H151" i="4" s="1"/>
  <c r="G150" i="4"/>
  <c r="H150" i="4" s="1"/>
  <c r="G147" i="4"/>
  <c r="H147" i="4" s="1"/>
  <c r="G146" i="4"/>
  <c r="H146" i="4" s="1"/>
  <c r="G145" i="4"/>
  <c r="H145" i="4" s="1"/>
  <c r="G144" i="4"/>
  <c r="H144" i="4" s="1"/>
  <c r="G143" i="4"/>
  <c r="H143" i="4" s="1"/>
  <c r="G142" i="4"/>
  <c r="H142" i="4" s="1"/>
  <c r="G141" i="4"/>
  <c r="H141" i="4" s="1"/>
  <c r="G140" i="4"/>
  <c r="H140" i="4" s="1"/>
  <c r="G139" i="4"/>
  <c r="H139" i="4" s="1"/>
  <c r="G138" i="4"/>
  <c r="H138" i="4" s="1"/>
  <c r="G132" i="4"/>
  <c r="H132" i="4" s="1"/>
  <c r="G131" i="4"/>
  <c r="H131" i="4" s="1"/>
  <c r="G130" i="4"/>
  <c r="H130" i="4" s="1"/>
  <c r="G129" i="4"/>
  <c r="H129" i="4" s="1"/>
  <c r="G126" i="4"/>
  <c r="H126" i="4" s="1"/>
  <c r="G125" i="4"/>
  <c r="H125" i="4" s="1"/>
  <c r="G124" i="4"/>
  <c r="H124" i="4" s="1"/>
  <c r="G123" i="4"/>
  <c r="H123" i="4" s="1"/>
  <c r="G122" i="4"/>
  <c r="H122" i="4" s="1"/>
  <c r="G115" i="4"/>
  <c r="H115" i="4" s="1"/>
  <c r="G111" i="4"/>
  <c r="H111" i="4" s="1"/>
  <c r="G110" i="4"/>
  <c r="H110" i="4" s="1"/>
  <c r="G109" i="4"/>
  <c r="H109" i="4" s="1"/>
  <c r="G105" i="4"/>
  <c r="H105" i="4" s="1"/>
  <c r="G104" i="4"/>
  <c r="H104" i="4" s="1"/>
  <c r="G103" i="4"/>
  <c r="H103" i="4" s="1"/>
  <c r="G102" i="4"/>
  <c r="H102" i="4" s="1"/>
  <c r="G101" i="4"/>
  <c r="H101" i="4" s="1"/>
  <c r="G100" i="4"/>
  <c r="H100" i="4" s="1"/>
  <c r="G90" i="4"/>
  <c r="H90" i="4" s="1"/>
  <c r="G89" i="4"/>
  <c r="H89" i="4" s="1"/>
  <c r="G88" i="4"/>
  <c r="H88" i="4" s="1"/>
  <c r="G87" i="4"/>
  <c r="H87" i="4" s="1"/>
  <c r="G84" i="4"/>
  <c r="H84" i="4" s="1"/>
  <c r="G83" i="4"/>
  <c r="H83" i="4" s="1"/>
  <c r="G82" i="4"/>
  <c r="H82" i="4" s="1"/>
  <c r="G79" i="4"/>
  <c r="H79" i="4" s="1"/>
  <c r="G78" i="4"/>
  <c r="H78" i="4" s="1"/>
  <c r="G76" i="4"/>
  <c r="H76" i="4" s="1"/>
  <c r="G75" i="4"/>
  <c r="H75" i="4" s="1"/>
  <c r="G73" i="4"/>
  <c r="H73" i="4" s="1"/>
  <c r="G69" i="4"/>
  <c r="H69" i="4" s="1"/>
  <c r="G68" i="4"/>
  <c r="H68" i="4" s="1"/>
  <c r="G67" i="4"/>
  <c r="H67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48" i="4"/>
  <c r="H48" i="4" s="1"/>
  <c r="G47" i="4"/>
  <c r="H47" i="4" s="1"/>
  <c r="G46" i="4"/>
  <c r="H46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27" i="4"/>
  <c r="H27" i="4" s="1"/>
  <c r="G26" i="4"/>
  <c r="H26" i="4" s="1"/>
  <c r="G25" i="4"/>
  <c r="H25" i="4" s="1"/>
  <c r="G21" i="4"/>
  <c r="H21" i="4" s="1"/>
  <c r="G20" i="4"/>
  <c r="H20" i="4" s="1"/>
  <c r="G19" i="4"/>
  <c r="H19" i="4" s="1"/>
  <c r="G18" i="4"/>
  <c r="H18" i="4" s="1"/>
  <c r="H121" i="2"/>
  <c r="G33" i="10" s="1"/>
  <c r="H33" i="10" s="1"/>
  <c r="H120" i="2"/>
  <c r="H119" i="2"/>
  <c r="G119" i="13" s="1"/>
  <c r="H119" i="13" s="1"/>
  <c r="H118" i="2"/>
  <c r="H117" i="2"/>
  <c r="H116" i="2"/>
  <c r="H115" i="2"/>
  <c r="H114" i="2"/>
  <c r="H113" i="2"/>
  <c r="H112" i="2"/>
  <c r="H111" i="2"/>
  <c r="E86" i="15" s="1"/>
  <c r="F86" i="15" s="1"/>
  <c r="H110" i="2"/>
  <c r="G182" i="4" s="1"/>
  <c r="H182" i="4" s="1"/>
  <c r="H109" i="2"/>
  <c r="G98" i="4" s="1"/>
  <c r="H98" i="4" s="1"/>
  <c r="H108" i="2"/>
  <c r="G267" i="4" s="1"/>
  <c r="H267" i="4" s="1"/>
  <c r="H107" i="2"/>
  <c r="H106" i="2"/>
  <c r="H105" i="2"/>
  <c r="G78" i="11" s="1"/>
  <c r="H78" i="11" s="1"/>
  <c r="H104" i="2"/>
  <c r="H103" i="2"/>
  <c r="H102" i="2"/>
  <c r="H101" i="2"/>
  <c r="H100" i="2"/>
  <c r="H99" i="2"/>
  <c r="H98" i="2"/>
  <c r="G82" i="8" s="1"/>
  <c r="H82" i="8" s="1"/>
  <c r="H97" i="2"/>
  <c r="H96" i="2"/>
  <c r="G11" i="5" s="1"/>
  <c r="H11" i="5" s="1"/>
  <c r="H95" i="2"/>
  <c r="H94" i="2"/>
  <c r="H93" i="2"/>
  <c r="E56" i="15" s="1"/>
  <c r="F56" i="15" s="1"/>
  <c r="H92" i="2"/>
  <c r="H91" i="2"/>
  <c r="G79" i="8" s="1"/>
  <c r="H79" i="8" s="1"/>
  <c r="H90" i="2"/>
  <c r="H89" i="2"/>
  <c r="H88" i="2"/>
  <c r="H87" i="2"/>
  <c r="E99" i="15" s="1"/>
  <c r="F99" i="15" s="1"/>
  <c r="H86" i="2"/>
  <c r="H85" i="2"/>
  <c r="H84" i="2"/>
  <c r="H83" i="2"/>
  <c r="H82" i="2"/>
  <c r="H81" i="2"/>
  <c r="G139" i="10" s="1"/>
  <c r="H139" i="10" s="1"/>
  <c r="H80" i="2"/>
  <c r="H79" i="2"/>
  <c r="H78" i="2"/>
  <c r="H77" i="2"/>
  <c r="G116" i="4" s="1"/>
  <c r="H116" i="4" s="1"/>
  <c r="H76" i="2"/>
  <c r="H75" i="2"/>
  <c r="E27" i="15" s="1"/>
  <c r="F27" i="15" s="1"/>
  <c r="H74" i="2"/>
  <c r="G12" i="10" s="1"/>
  <c r="H12" i="10" s="1"/>
  <c r="H73" i="2"/>
  <c r="H72" i="2"/>
  <c r="H71" i="2"/>
  <c r="G159" i="8" s="1"/>
  <c r="H159" i="8" s="1"/>
  <c r="H70" i="2"/>
  <c r="H69" i="2"/>
  <c r="G178" i="4" s="1"/>
  <c r="H178" i="4" s="1"/>
  <c r="H68" i="2"/>
  <c r="H67" i="2"/>
  <c r="G180" i="8" s="1"/>
  <c r="H180" i="8" s="1"/>
  <c r="H66" i="2"/>
  <c r="H65" i="2"/>
  <c r="H64" i="2"/>
  <c r="H63" i="2"/>
  <c r="H62" i="2"/>
  <c r="H61" i="2"/>
  <c r="H60" i="2"/>
  <c r="H59" i="2"/>
  <c r="G262" i="7" s="1"/>
  <c r="H262" i="7" s="1"/>
  <c r="H58" i="2"/>
  <c r="H57" i="2"/>
  <c r="H56" i="2"/>
  <c r="G10" i="12" s="1"/>
  <c r="H10" i="12" s="1"/>
  <c r="H55" i="2"/>
  <c r="G31" i="12" s="1"/>
  <c r="H31" i="12" s="1"/>
  <c r="H54" i="2"/>
  <c r="H53" i="2"/>
  <c r="G121" i="4" s="1"/>
  <c r="H121" i="4" s="1"/>
  <c r="H52" i="2"/>
  <c r="H51" i="2"/>
  <c r="E107" i="15" s="1"/>
  <c r="F107" i="15" s="1"/>
  <c r="H50" i="2"/>
  <c r="H49" i="2"/>
  <c r="H48" i="2"/>
  <c r="G223" i="7" s="1"/>
  <c r="H223" i="7" s="1"/>
  <c r="H47" i="2"/>
  <c r="H46" i="2"/>
  <c r="H45" i="2"/>
  <c r="H44" i="2"/>
  <c r="H43" i="2"/>
  <c r="H42" i="2"/>
  <c r="H41" i="2"/>
  <c r="H40" i="2"/>
  <c r="H39" i="2"/>
  <c r="G273" i="4" s="1"/>
  <c r="H273" i="4" s="1"/>
  <c r="H38" i="2"/>
  <c r="G137" i="5" s="1"/>
  <c r="H137" i="5" s="1"/>
  <c r="H37" i="2"/>
  <c r="G61" i="9" s="1"/>
  <c r="H61" i="9" s="1"/>
  <c r="H36" i="2"/>
  <c r="G73" i="6" s="1"/>
  <c r="H73" i="6" s="1"/>
  <c r="H35" i="2"/>
  <c r="G52" i="6" s="1"/>
  <c r="H52" i="6" s="1"/>
  <c r="H34" i="2"/>
  <c r="H33" i="2"/>
  <c r="H32" i="2"/>
  <c r="H31" i="2"/>
  <c r="G269" i="4" s="1"/>
  <c r="H269" i="4" s="1"/>
  <c r="H30" i="2"/>
  <c r="H29" i="2"/>
  <c r="G271" i="4" s="1"/>
  <c r="H271" i="4" s="1"/>
  <c r="H28" i="2"/>
  <c r="G12" i="5" s="1"/>
  <c r="H12" i="5" s="1"/>
  <c r="H27" i="2"/>
  <c r="H26" i="2"/>
  <c r="H25" i="2"/>
  <c r="G159" i="4" s="1"/>
  <c r="H159" i="4" s="1"/>
  <c r="H24" i="2"/>
  <c r="H23" i="2"/>
  <c r="H22" i="2"/>
  <c r="G84" i="11" s="1"/>
  <c r="H84" i="11" s="1"/>
  <c r="H21" i="2"/>
  <c r="H20" i="2"/>
  <c r="H19" i="2"/>
  <c r="G11" i="4" s="1"/>
  <c r="H11" i="4" s="1"/>
  <c r="H18" i="2"/>
  <c r="H17" i="2"/>
  <c r="H16" i="2"/>
  <c r="G179" i="4" s="1"/>
  <c r="H179" i="4" s="1"/>
  <c r="H15" i="2"/>
  <c r="G95" i="5" s="1"/>
  <c r="H95" i="5" s="1"/>
  <c r="H14" i="2"/>
  <c r="G201" i="7" s="1"/>
  <c r="H201" i="7" s="1"/>
  <c r="H13" i="2"/>
  <c r="G158" i="4" s="1"/>
  <c r="H158" i="4" s="1"/>
  <c r="H12" i="2"/>
  <c r="H11" i="2"/>
  <c r="H10" i="2"/>
  <c r="G54" i="5" s="1"/>
  <c r="H54" i="5" s="1"/>
  <c r="H9" i="2"/>
  <c r="H8" i="2"/>
  <c r="H7" i="2"/>
  <c r="G263" i="4" s="1"/>
  <c r="H263" i="4" s="1"/>
  <c r="E111" i="1"/>
  <c r="E110" i="1"/>
  <c r="E109" i="1"/>
  <c r="E107" i="1"/>
  <c r="E106" i="1"/>
  <c r="E105" i="1"/>
  <c r="E104" i="1"/>
  <c r="E103" i="1"/>
  <c r="E102" i="1"/>
  <c r="E101" i="1"/>
  <c r="E100" i="1"/>
  <c r="E99" i="1"/>
  <c r="E98" i="1"/>
  <c r="E96" i="1"/>
  <c r="E95" i="1"/>
  <c r="E94" i="1"/>
  <c r="E92" i="1"/>
  <c r="E91" i="1"/>
  <c r="E90" i="1"/>
  <c r="E89" i="1"/>
  <c r="E88" i="1"/>
  <c r="E87" i="1"/>
  <c r="E85" i="1"/>
  <c r="E84" i="1"/>
  <c r="E83" i="1"/>
  <c r="E82" i="1"/>
  <c r="E81" i="1"/>
  <c r="E80" i="1"/>
  <c r="E79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3" i="1"/>
  <c r="E62" i="1"/>
  <c r="E61" i="1"/>
  <c r="E60" i="1"/>
  <c r="E59" i="1"/>
  <c r="E58" i="1"/>
  <c r="E57" i="1"/>
  <c r="E56" i="1"/>
  <c r="E5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39" i="1"/>
  <c r="E38" i="1"/>
  <c r="E37" i="1"/>
  <c r="E36" i="1"/>
  <c r="E34" i="1"/>
  <c r="E33" i="1"/>
  <c r="E32" i="1"/>
  <c r="E31" i="1"/>
  <c r="E30" i="1"/>
  <c r="E29" i="1"/>
  <c r="E28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D6" i="1"/>
  <c r="B6" i="1"/>
  <c r="G77" i="4" l="1"/>
  <c r="H77" i="4" s="1"/>
  <c r="G157" i="4"/>
  <c r="H157" i="4" s="1"/>
  <c r="G12" i="4"/>
  <c r="H12" i="4" s="1"/>
  <c r="G15" i="4"/>
  <c r="H15" i="4" s="1"/>
  <c r="G32" i="4"/>
  <c r="H32" i="4" s="1"/>
  <c r="G118" i="4"/>
  <c r="H118" i="4" s="1"/>
  <c r="G161" i="4"/>
  <c r="H161" i="4" s="1"/>
  <c r="F197" i="13"/>
  <c r="F107" i="1" s="1"/>
  <c r="F155" i="13"/>
  <c r="F105" i="1" s="1"/>
  <c r="F50" i="13"/>
  <c r="F100" i="1" s="1"/>
  <c r="F29" i="14"/>
  <c r="F110" i="1" s="1"/>
  <c r="F29" i="12"/>
  <c r="F95" i="1" s="1"/>
  <c r="F8" i="12"/>
  <c r="F94" i="1" s="1"/>
  <c r="F176" i="13"/>
  <c r="F106" i="1" s="1"/>
  <c r="G83" i="11"/>
  <c r="H83" i="11" s="1"/>
  <c r="G100" i="8"/>
  <c r="H100" i="8" s="1"/>
  <c r="G263" i="7"/>
  <c r="H263" i="7" s="1"/>
  <c r="G179" i="7"/>
  <c r="H179" i="7" s="1"/>
  <c r="G11" i="8"/>
  <c r="H11" i="8" s="1"/>
  <c r="G138" i="7"/>
  <c r="H138" i="7" s="1"/>
  <c r="G52" i="7"/>
  <c r="H52" i="7" s="1"/>
  <c r="G15" i="7"/>
  <c r="H15" i="7" s="1"/>
  <c r="G54" i="6"/>
  <c r="H54" i="6" s="1"/>
  <c r="G35" i="5"/>
  <c r="H35" i="5" s="1"/>
  <c r="G243" i="7"/>
  <c r="H243" i="7" s="1"/>
  <c r="G75" i="6"/>
  <c r="H75" i="6" s="1"/>
  <c r="G199" i="7"/>
  <c r="H199" i="7" s="1"/>
  <c r="G96" i="7"/>
  <c r="H96" i="7" s="1"/>
  <c r="G14" i="6"/>
  <c r="H14" i="6" s="1"/>
  <c r="G75" i="5"/>
  <c r="H75" i="5" s="1"/>
  <c r="G225" i="7"/>
  <c r="H225" i="7" s="1"/>
  <c r="G29" i="14"/>
  <c r="G110" i="1" s="1"/>
  <c r="G155" i="13"/>
  <c r="G176" i="13"/>
  <c r="G92" i="13"/>
  <c r="G102" i="1" s="1"/>
  <c r="G8" i="13"/>
  <c r="G29" i="13"/>
  <c r="G29" i="12"/>
  <c r="G8" i="12"/>
  <c r="G8" i="14"/>
  <c r="G109" i="1" s="1"/>
  <c r="G197" i="13"/>
  <c r="G29" i="11"/>
  <c r="G50" i="14"/>
  <c r="G111" i="1" s="1"/>
  <c r="G134" i="13"/>
  <c r="G116" i="11"/>
  <c r="G71" i="11"/>
  <c r="G71" i="10"/>
  <c r="G263" i="9"/>
  <c r="G134" i="9"/>
  <c r="G50" i="9"/>
  <c r="G157" i="8"/>
  <c r="G95" i="11"/>
  <c r="G50" i="11"/>
  <c r="G8" i="11"/>
  <c r="G92" i="10"/>
  <c r="G8" i="10"/>
  <c r="G198" i="9"/>
  <c r="G155" i="9"/>
  <c r="G71" i="9"/>
  <c r="G113" i="13"/>
  <c r="G71" i="13"/>
  <c r="G50" i="13"/>
  <c r="G50" i="12"/>
  <c r="G113" i="10"/>
  <c r="G29" i="10"/>
  <c r="G221" i="9"/>
  <c r="G176" i="9"/>
  <c r="G92" i="9"/>
  <c r="G134" i="10"/>
  <c r="G242" i="9"/>
  <c r="G178" i="8"/>
  <c r="G71" i="8"/>
  <c r="G29" i="9"/>
  <c r="G115" i="8"/>
  <c r="G29" i="8"/>
  <c r="G218" i="7"/>
  <c r="G50" i="10"/>
  <c r="G113" i="9"/>
  <c r="G8" i="9"/>
  <c r="G136" i="8"/>
  <c r="G93" i="8"/>
  <c r="G50" i="8"/>
  <c r="G134" i="7"/>
  <c r="G50" i="7"/>
  <c r="G50" i="6"/>
  <c r="G113" i="5"/>
  <c r="G29" i="5"/>
  <c r="G197" i="7"/>
  <c r="G155" i="7"/>
  <c r="G71" i="7"/>
  <c r="G71" i="6"/>
  <c r="G134" i="5"/>
  <c r="G260" i="7"/>
  <c r="G176" i="7"/>
  <c r="G92" i="7"/>
  <c r="G8" i="7"/>
  <c r="G8" i="6"/>
  <c r="G71" i="5"/>
  <c r="G8" i="8"/>
  <c r="G239" i="7"/>
  <c r="G34" i="4"/>
  <c r="H34" i="4" s="1"/>
  <c r="G71" i="4"/>
  <c r="G81" i="4"/>
  <c r="H81" i="4" s="1"/>
  <c r="G120" i="4"/>
  <c r="H120" i="4" s="1"/>
  <c r="G200" i="4"/>
  <c r="H200" i="4" s="1"/>
  <c r="G239" i="4"/>
  <c r="G289" i="4"/>
  <c r="H289" i="4" s="1"/>
  <c r="G53" i="5"/>
  <c r="H53" i="5" s="1"/>
  <c r="G33" i="6"/>
  <c r="H33" i="6" s="1"/>
  <c r="G78" i="6"/>
  <c r="H78" i="6" s="1"/>
  <c r="G29" i="7"/>
  <c r="G158" i="7"/>
  <c r="H158" i="7" s="1"/>
  <c r="G80" i="11"/>
  <c r="H80" i="11" s="1"/>
  <c r="G101" i="11"/>
  <c r="H101" i="11" s="1"/>
  <c r="E132" i="15"/>
  <c r="F132" i="15" s="1"/>
  <c r="E58" i="15"/>
  <c r="F58" i="15" s="1"/>
  <c r="G12" i="13"/>
  <c r="H12" i="13" s="1"/>
  <c r="E88" i="15"/>
  <c r="F88" i="15" s="1"/>
  <c r="E70" i="15"/>
  <c r="F70" i="15" s="1"/>
  <c r="E111" i="15"/>
  <c r="F111" i="15" s="1"/>
  <c r="G58" i="11"/>
  <c r="H58" i="11" s="1"/>
  <c r="G34" i="11"/>
  <c r="H34" i="11" s="1"/>
  <c r="G120" i="10"/>
  <c r="H120" i="10" s="1"/>
  <c r="G79" i="10"/>
  <c r="H79" i="10" s="1"/>
  <c r="G271" i="9"/>
  <c r="H271" i="9" s="1"/>
  <c r="G187" i="9"/>
  <c r="H187" i="9" s="1"/>
  <c r="G138" i="9"/>
  <c r="H138" i="9" s="1"/>
  <c r="G101" i="9"/>
  <c r="H101" i="9" s="1"/>
  <c r="G60" i="9"/>
  <c r="H60" i="9" s="1"/>
  <c r="G13" i="11"/>
  <c r="H13" i="11" s="1"/>
  <c r="G141" i="10"/>
  <c r="H141" i="10" s="1"/>
  <c r="G122" i="9"/>
  <c r="H122" i="9" s="1"/>
  <c r="G38" i="9"/>
  <c r="H38" i="9" s="1"/>
  <c r="G97" i="10"/>
  <c r="H97" i="10" s="1"/>
  <c r="G56" i="10"/>
  <c r="H56" i="10" s="1"/>
  <c r="G186" i="8"/>
  <c r="H186" i="8" s="1"/>
  <c r="G123" i="8"/>
  <c r="H123" i="8" s="1"/>
  <c r="G18" i="9"/>
  <c r="H18" i="9" s="1"/>
  <c r="G160" i="8"/>
  <c r="H160" i="8" s="1"/>
  <c r="G211" i="9"/>
  <c r="H211" i="9" s="1"/>
  <c r="G35" i="8"/>
  <c r="H35" i="8" s="1"/>
  <c r="G160" i="9"/>
  <c r="H160" i="9" s="1"/>
  <c r="G80" i="9"/>
  <c r="H80" i="9" s="1"/>
  <c r="G144" i="8"/>
  <c r="H144" i="8" s="1"/>
  <c r="G103" i="8"/>
  <c r="H103" i="8" s="1"/>
  <c r="G57" i="8"/>
  <c r="H57" i="8" s="1"/>
  <c r="G244" i="7"/>
  <c r="H244" i="7" s="1"/>
  <c r="G227" i="7"/>
  <c r="H227" i="7" s="1"/>
  <c r="G97" i="7"/>
  <c r="H97" i="7" s="1"/>
  <c r="G13" i="6"/>
  <c r="H13" i="6" s="1"/>
  <c r="G119" i="5"/>
  <c r="H119" i="5" s="1"/>
  <c r="G74" i="5"/>
  <c r="H74" i="5" s="1"/>
  <c r="G33" i="5"/>
  <c r="H33" i="5" s="1"/>
  <c r="G288" i="4"/>
  <c r="H288" i="4" s="1"/>
  <c r="G14" i="8"/>
  <c r="H14" i="8" s="1"/>
  <c r="G161" i="7"/>
  <c r="H161" i="7" s="1"/>
  <c r="G120" i="7"/>
  <c r="H120" i="7" s="1"/>
  <c r="G34" i="7"/>
  <c r="H34" i="7" s="1"/>
  <c r="G34" i="6"/>
  <c r="H34" i="6" s="1"/>
  <c r="G204" i="7"/>
  <c r="H204" i="7" s="1"/>
  <c r="G139" i="7"/>
  <c r="H139" i="7" s="1"/>
  <c r="G16" i="7"/>
  <c r="H16" i="7" s="1"/>
  <c r="G55" i="6"/>
  <c r="H55" i="6" s="1"/>
  <c r="G94" i="13"/>
  <c r="H94" i="13" s="1"/>
  <c r="G115" i="13"/>
  <c r="H115" i="13" s="1"/>
  <c r="E115" i="15"/>
  <c r="F115" i="15" s="1"/>
  <c r="E34" i="15"/>
  <c r="F34" i="15" s="1"/>
  <c r="G206" i="9"/>
  <c r="H206" i="9" s="1"/>
  <c r="G184" i="9"/>
  <c r="H184" i="9" s="1"/>
  <c r="G76" i="8"/>
  <c r="H76" i="8" s="1"/>
  <c r="E131" i="15"/>
  <c r="F131" i="15" s="1"/>
  <c r="E69" i="15"/>
  <c r="F69" i="15" s="1"/>
  <c r="E46" i="15"/>
  <c r="F46" i="15" s="1"/>
  <c r="G119" i="10"/>
  <c r="H119" i="10" s="1"/>
  <c r="G183" i="8"/>
  <c r="H183" i="8" s="1"/>
  <c r="E33" i="15"/>
  <c r="F33" i="15" s="1"/>
  <c r="G19" i="9"/>
  <c r="H19" i="9" s="1"/>
  <c r="G188" i="9"/>
  <c r="H188" i="9" s="1"/>
  <c r="G102" i="9"/>
  <c r="H102" i="9" s="1"/>
  <c r="G58" i="10"/>
  <c r="H58" i="10" s="1"/>
  <c r="G80" i="8"/>
  <c r="H80" i="8" s="1"/>
  <c r="G164" i="8"/>
  <c r="H164" i="8" s="1"/>
  <c r="G58" i="8"/>
  <c r="H58" i="8" s="1"/>
  <c r="G36" i="8"/>
  <c r="H36" i="8" s="1"/>
  <c r="G124" i="8"/>
  <c r="H124" i="8" s="1"/>
  <c r="G249" i="9"/>
  <c r="H249" i="9" s="1"/>
  <c r="G85" i="11"/>
  <c r="H85" i="11" s="1"/>
  <c r="G145" i="8"/>
  <c r="H145" i="8" s="1"/>
  <c r="G37" i="8"/>
  <c r="H37" i="8" s="1"/>
  <c r="G187" i="8"/>
  <c r="H187" i="8" s="1"/>
  <c r="G53" i="8"/>
  <c r="H53" i="8" s="1"/>
  <c r="G55" i="11"/>
  <c r="H55" i="11" s="1"/>
  <c r="G75" i="10"/>
  <c r="H75" i="10" s="1"/>
  <c r="G98" i="10"/>
  <c r="H98" i="10" s="1"/>
  <c r="G54" i="10"/>
  <c r="H54" i="10" s="1"/>
  <c r="G290" i="4"/>
  <c r="H290" i="4" s="1"/>
  <c r="G10" i="6"/>
  <c r="H10" i="6" s="1"/>
  <c r="G118" i="9"/>
  <c r="H118" i="9" s="1"/>
  <c r="G75" i="9"/>
  <c r="H75" i="9" s="1"/>
  <c r="G55" i="9"/>
  <c r="H55" i="9" s="1"/>
  <c r="E108" i="15"/>
  <c r="F108" i="15" s="1"/>
  <c r="G76" i="11"/>
  <c r="H76" i="11" s="1"/>
  <c r="G99" i="11"/>
  <c r="H99" i="11" s="1"/>
  <c r="G247" i="9"/>
  <c r="H247" i="9" s="1"/>
  <c r="G208" i="9"/>
  <c r="H208" i="9" s="1"/>
  <c r="G33" i="9"/>
  <c r="H33" i="9" s="1"/>
  <c r="G226" i="7"/>
  <c r="H226" i="7" s="1"/>
  <c r="G13" i="7"/>
  <c r="H13" i="7" s="1"/>
  <c r="G159" i="7"/>
  <c r="H159" i="7" s="1"/>
  <c r="G32" i="6"/>
  <c r="H32" i="6" s="1"/>
  <c r="G137" i="7"/>
  <c r="H137" i="7" s="1"/>
  <c r="G53" i="6"/>
  <c r="H53" i="6" s="1"/>
  <c r="G34" i="5"/>
  <c r="H34" i="5" s="1"/>
  <c r="G242" i="7"/>
  <c r="H242" i="7" s="1"/>
  <c r="G120" i="9"/>
  <c r="H120" i="9" s="1"/>
  <c r="G77" i="9"/>
  <c r="H77" i="9" s="1"/>
  <c r="G57" i="9"/>
  <c r="H57" i="9" s="1"/>
  <c r="D26" i="3"/>
  <c r="G13" i="4"/>
  <c r="H13" i="4" s="1"/>
  <c r="G17" i="4"/>
  <c r="H17" i="4" s="1"/>
  <c r="G50" i="4"/>
  <c r="G52" i="4"/>
  <c r="H52" i="4" s="1"/>
  <c r="G54" i="4"/>
  <c r="H54" i="4" s="1"/>
  <c r="G56" i="4"/>
  <c r="H56" i="4" s="1"/>
  <c r="G95" i="4"/>
  <c r="H95" i="4" s="1"/>
  <c r="G97" i="4"/>
  <c r="H97" i="4" s="1"/>
  <c r="G99" i="4"/>
  <c r="H99" i="4" s="1"/>
  <c r="G134" i="4"/>
  <c r="G136" i="4"/>
  <c r="H136" i="4" s="1"/>
  <c r="G181" i="4"/>
  <c r="H181" i="4" s="1"/>
  <c r="G218" i="4"/>
  <c r="G222" i="4"/>
  <c r="H222" i="4" s="1"/>
  <c r="G224" i="4"/>
  <c r="H224" i="4" s="1"/>
  <c r="G228" i="4"/>
  <c r="H228" i="4" s="1"/>
  <c r="G265" i="4"/>
  <c r="H265" i="4" s="1"/>
  <c r="G275" i="4"/>
  <c r="H275" i="4" s="1"/>
  <c r="G287" i="4"/>
  <c r="H287" i="4" s="1"/>
  <c r="G8" i="5"/>
  <c r="G50" i="5"/>
  <c r="G92" i="5"/>
  <c r="G96" i="5"/>
  <c r="H96" i="5" s="1"/>
  <c r="G31" i="7"/>
  <c r="H31" i="7" s="1"/>
  <c r="G117" i="7"/>
  <c r="H117" i="7" s="1"/>
  <c r="G160" i="7"/>
  <c r="H160" i="7" s="1"/>
  <c r="G180" i="7"/>
  <c r="H180" i="7" s="1"/>
  <c r="E83" i="15"/>
  <c r="F83" i="15" s="1"/>
  <c r="E127" i="15"/>
  <c r="F127" i="15" s="1"/>
  <c r="E24" i="15"/>
  <c r="F24" i="15" s="1"/>
  <c r="G118" i="10"/>
  <c r="H118" i="10" s="1"/>
  <c r="G265" i="9"/>
  <c r="H265" i="9" s="1"/>
  <c r="G179" i="9"/>
  <c r="H179" i="9" s="1"/>
  <c r="G54" i="9"/>
  <c r="H54" i="9" s="1"/>
  <c r="G120" i="8"/>
  <c r="H120" i="8" s="1"/>
  <c r="G245" i="9"/>
  <c r="H245" i="9" s="1"/>
  <c r="G202" i="9"/>
  <c r="H202" i="9" s="1"/>
  <c r="G116" i="9"/>
  <c r="H116" i="9" s="1"/>
  <c r="G34" i="9"/>
  <c r="H34" i="9" s="1"/>
  <c r="G12" i="9"/>
  <c r="H12" i="9" s="1"/>
  <c r="G83" i="8"/>
  <c r="H83" i="8" s="1"/>
  <c r="G142" i="8"/>
  <c r="H142" i="8" s="1"/>
  <c r="G220" i="7"/>
  <c r="H220" i="7" s="1"/>
  <c r="G74" i="9"/>
  <c r="H74" i="9" s="1"/>
  <c r="G184" i="8"/>
  <c r="H184" i="8" s="1"/>
  <c r="G117" i="5"/>
  <c r="H117" i="5" s="1"/>
  <c r="G116" i="7"/>
  <c r="H116" i="7" s="1"/>
  <c r="G138" i="5"/>
  <c r="H138" i="5" s="1"/>
  <c r="E67" i="15"/>
  <c r="F67" i="15" s="1"/>
  <c r="E109" i="15"/>
  <c r="F109" i="15" s="1"/>
  <c r="E25" i="15"/>
  <c r="F25" i="15" s="1"/>
  <c r="E47" i="15"/>
  <c r="F47" i="15" s="1"/>
  <c r="E59" i="15"/>
  <c r="F59" i="15" s="1"/>
  <c r="E120" i="15"/>
  <c r="F120" i="15" s="1"/>
  <c r="G77" i="10"/>
  <c r="H77" i="10" s="1"/>
  <c r="G15" i="9"/>
  <c r="H15" i="9" s="1"/>
  <c r="G203" i="9"/>
  <c r="H203" i="9" s="1"/>
  <c r="G155" i="4"/>
  <c r="E101" i="15"/>
  <c r="F101" i="15" s="1"/>
  <c r="G15" i="15" s="1"/>
  <c r="E94" i="15"/>
  <c r="F94" i="15" s="1"/>
  <c r="E87" i="15"/>
  <c r="F87" i="15" s="1"/>
  <c r="E51" i="15"/>
  <c r="F51" i="15" s="1"/>
  <c r="G118" i="13"/>
  <c r="H118" i="13" s="1"/>
  <c r="G97" i="13"/>
  <c r="H97" i="13" s="1"/>
  <c r="G32" i="13"/>
  <c r="H32" i="13" s="1"/>
  <c r="F29" i="13" s="1"/>
  <c r="G11" i="13"/>
  <c r="H11" i="13" s="1"/>
  <c r="G74" i="13"/>
  <c r="H74" i="13" s="1"/>
  <c r="F71" i="13" s="1"/>
  <c r="G96" i="10"/>
  <c r="H96" i="10" s="1"/>
  <c r="G55" i="10"/>
  <c r="H55" i="10" s="1"/>
  <c r="G78" i="10"/>
  <c r="H78" i="10" s="1"/>
  <c r="G142" i="10"/>
  <c r="H142" i="10" s="1"/>
  <c r="G32" i="7"/>
  <c r="H32" i="7" s="1"/>
  <c r="G14" i="7"/>
  <c r="H14" i="7" s="1"/>
  <c r="G291" i="4"/>
  <c r="H291" i="4" s="1"/>
  <c r="G94" i="9"/>
  <c r="H94" i="9" s="1"/>
  <c r="G10" i="9"/>
  <c r="H10" i="9" s="1"/>
  <c r="G31" i="9"/>
  <c r="H31" i="9" s="1"/>
  <c r="G161" i="8"/>
  <c r="H161" i="8" s="1"/>
  <c r="G56" i="6"/>
  <c r="H56" i="6" s="1"/>
  <c r="G77" i="6"/>
  <c r="H77" i="6" s="1"/>
  <c r="G96" i="9"/>
  <c r="H96" i="9" s="1"/>
  <c r="G241" i="7"/>
  <c r="H241" i="7" s="1"/>
  <c r="G36" i="5"/>
  <c r="H36" i="5" s="1"/>
  <c r="G186" i="9"/>
  <c r="H186" i="9" s="1"/>
  <c r="G12" i="6"/>
  <c r="H12" i="6" s="1"/>
  <c r="G102" i="8"/>
  <c r="H102" i="8" s="1"/>
  <c r="G13" i="8"/>
  <c r="H13" i="8" s="1"/>
  <c r="E29" i="15"/>
  <c r="F29" i="15" s="1"/>
  <c r="G82" i="11"/>
  <c r="H82" i="11" s="1"/>
  <c r="G183" i="9"/>
  <c r="H183" i="9" s="1"/>
  <c r="G17" i="9"/>
  <c r="H17" i="9" s="1"/>
  <c r="G35" i="9"/>
  <c r="H35" i="9" s="1"/>
  <c r="G162" i="8"/>
  <c r="H162" i="8" s="1"/>
  <c r="G74" i="8"/>
  <c r="H74" i="8" s="1"/>
  <c r="G33" i="8"/>
  <c r="H33" i="8" s="1"/>
  <c r="G99" i="8"/>
  <c r="H99" i="8" s="1"/>
  <c r="G54" i="8"/>
  <c r="H54" i="8" s="1"/>
  <c r="G97" i="9"/>
  <c r="H97" i="9" s="1"/>
  <c r="G182" i="9"/>
  <c r="H182" i="9" s="1"/>
  <c r="E26" i="15"/>
  <c r="F26" i="15" s="1"/>
  <c r="G252" i="9"/>
  <c r="H252" i="9" s="1"/>
  <c r="E93" i="15"/>
  <c r="F93" i="15" s="1"/>
  <c r="G95" i="13"/>
  <c r="H95" i="13" s="1"/>
  <c r="G116" i="13"/>
  <c r="H116" i="13" s="1"/>
  <c r="G53" i="10"/>
  <c r="H53" i="10" s="1"/>
  <c r="G74" i="10"/>
  <c r="H74" i="10" s="1"/>
  <c r="G95" i="10"/>
  <c r="H95" i="10" s="1"/>
  <c r="E66" i="15"/>
  <c r="F66" i="15" s="1"/>
  <c r="G11" i="6"/>
  <c r="H11" i="6" s="1"/>
  <c r="E113" i="15"/>
  <c r="F113" i="15" s="1"/>
  <c r="E43" i="15"/>
  <c r="F43" i="15" s="1"/>
  <c r="E31" i="15"/>
  <c r="F31" i="15" s="1"/>
  <c r="G163" i="8"/>
  <c r="H163" i="8" s="1"/>
  <c r="E61" i="15"/>
  <c r="F61" i="15" s="1"/>
  <c r="E68" i="15"/>
  <c r="F68" i="15" s="1"/>
  <c r="G54" i="11"/>
  <c r="H54" i="11" s="1"/>
  <c r="G165" i="8"/>
  <c r="H165" i="8" s="1"/>
  <c r="G117" i="10"/>
  <c r="H117" i="10" s="1"/>
  <c r="G268" i="9"/>
  <c r="H268" i="9" s="1"/>
  <c r="G180" i="9"/>
  <c r="H180" i="9" s="1"/>
  <c r="G246" i="9"/>
  <c r="H246" i="9" s="1"/>
  <c r="G118" i="7"/>
  <c r="H118" i="7" s="1"/>
  <c r="G57" i="6"/>
  <c r="H57" i="6" s="1"/>
  <c r="G118" i="5"/>
  <c r="H118" i="5" s="1"/>
  <c r="G32" i="5"/>
  <c r="H32" i="5" s="1"/>
  <c r="G59" i="8"/>
  <c r="H59" i="8" s="1"/>
  <c r="G29" i="4"/>
  <c r="G31" i="4"/>
  <c r="H31" i="4" s="1"/>
  <c r="G33" i="4"/>
  <c r="H33" i="4" s="1"/>
  <c r="G35" i="4"/>
  <c r="H35" i="4" s="1"/>
  <c r="G74" i="4"/>
  <c r="H74" i="4" s="1"/>
  <c r="G80" i="4"/>
  <c r="H80" i="4" s="1"/>
  <c r="G113" i="4"/>
  <c r="G117" i="4"/>
  <c r="H117" i="4" s="1"/>
  <c r="G119" i="4"/>
  <c r="H119" i="4" s="1"/>
  <c r="G160" i="4"/>
  <c r="H160" i="4" s="1"/>
  <c r="G197" i="4"/>
  <c r="G199" i="4"/>
  <c r="H199" i="4" s="1"/>
  <c r="G242" i="4"/>
  <c r="H242" i="4" s="1"/>
  <c r="G285" i="4"/>
  <c r="G13" i="5"/>
  <c r="H13" i="5" s="1"/>
  <c r="G97" i="5"/>
  <c r="H97" i="5" s="1"/>
  <c r="G29" i="6"/>
  <c r="G74" i="6"/>
  <c r="H74" i="6" s="1"/>
  <c r="G33" i="7"/>
  <c r="H33" i="7" s="1"/>
  <c r="G221" i="7"/>
  <c r="H221" i="7" s="1"/>
  <c r="G98" i="11"/>
  <c r="H98" i="11" s="1"/>
  <c r="G74" i="11"/>
  <c r="H74" i="11" s="1"/>
  <c r="G104" i="8"/>
  <c r="H104" i="8" s="1"/>
  <c r="G116" i="10"/>
  <c r="H116" i="10" s="1"/>
  <c r="G73" i="10"/>
  <c r="H73" i="10" s="1"/>
  <c r="G137" i="10"/>
  <c r="H137" i="10" s="1"/>
  <c r="G94" i="10"/>
  <c r="H94" i="10" s="1"/>
  <c r="G10" i="10"/>
  <c r="H10" i="10" s="1"/>
  <c r="F8" i="10" s="1"/>
  <c r="G31" i="10"/>
  <c r="H31" i="10" s="1"/>
  <c r="G52" i="10"/>
  <c r="H52" i="10" s="1"/>
  <c r="G12" i="7"/>
  <c r="H12" i="7" s="1"/>
  <c r="G95" i="9"/>
  <c r="H95" i="9" s="1"/>
  <c r="G115" i="10"/>
  <c r="H115" i="10" s="1"/>
  <c r="G178" i="9"/>
  <c r="H178" i="9" s="1"/>
  <c r="G136" i="10"/>
  <c r="H136" i="10" s="1"/>
  <c r="G73" i="7"/>
  <c r="H73" i="7" s="1"/>
  <c r="G94" i="7"/>
  <c r="H94" i="7" s="1"/>
  <c r="G10" i="7"/>
  <c r="H10" i="7" s="1"/>
  <c r="E129" i="15"/>
  <c r="F129" i="15" s="1"/>
  <c r="E41" i="15"/>
  <c r="F41" i="15" s="1"/>
  <c r="G99" i="9"/>
  <c r="H99" i="9" s="1"/>
  <c r="G58" i="9"/>
  <c r="H58" i="9" s="1"/>
  <c r="G78" i="9"/>
  <c r="H78" i="9" s="1"/>
  <c r="G140" i="8"/>
  <c r="H140" i="8" s="1"/>
  <c r="G182" i="8"/>
  <c r="H182" i="8" s="1"/>
  <c r="G119" i="8"/>
  <c r="H119" i="8" s="1"/>
  <c r="G121" i="9"/>
  <c r="H121" i="9" s="1"/>
  <c r="E121" i="15"/>
  <c r="F121" i="15" s="1"/>
  <c r="E73" i="15"/>
  <c r="F73" i="15" s="1"/>
  <c r="E60" i="15"/>
  <c r="F60" i="15" s="1"/>
  <c r="E48" i="15"/>
  <c r="F48" i="15" s="1"/>
  <c r="E28" i="15"/>
  <c r="F28" i="15" s="1"/>
  <c r="G204" i="9"/>
  <c r="H204" i="9" s="1"/>
  <c r="G14" i="9"/>
  <c r="H14" i="9" s="1"/>
  <c r="G200" i="7"/>
  <c r="H200" i="7" s="1"/>
  <c r="G15" i="6"/>
  <c r="H15" i="6" s="1"/>
  <c r="G56" i="11"/>
  <c r="H56" i="11" s="1"/>
  <c r="G158" i="9"/>
  <c r="H158" i="9" s="1"/>
  <c r="F155" i="9" s="1"/>
  <c r="G35" i="11"/>
  <c r="H35" i="11" s="1"/>
  <c r="G14" i="11"/>
  <c r="H14" i="11" s="1"/>
  <c r="F8" i="11" s="1"/>
  <c r="G207" i="9"/>
  <c r="H207" i="9" s="1"/>
  <c r="E130" i="15"/>
  <c r="F130" i="15" s="1"/>
  <c r="E71" i="15"/>
  <c r="F71" i="15" s="1"/>
  <c r="E49" i="15"/>
  <c r="F49" i="15" s="1"/>
  <c r="G57" i="11"/>
  <c r="H57" i="11" s="1"/>
  <c r="G120" i="5"/>
  <c r="H120" i="5" s="1"/>
  <c r="E110" i="15"/>
  <c r="F110" i="15" s="1"/>
  <c r="G32" i="10"/>
  <c r="H32" i="10" s="1"/>
  <c r="G121" i="10"/>
  <c r="H121" i="10" s="1"/>
  <c r="G76" i="10"/>
  <c r="H76" i="10" s="1"/>
  <c r="G140" i="10"/>
  <c r="H140" i="10" s="1"/>
  <c r="G99" i="10"/>
  <c r="H99" i="10" s="1"/>
  <c r="G17" i="7"/>
  <c r="H17" i="7" s="1"/>
  <c r="G223" i="9"/>
  <c r="H223" i="9" s="1"/>
  <c r="F221" i="9" s="1"/>
  <c r="G244" i="9"/>
  <c r="H244" i="9" s="1"/>
  <c r="G73" i="8"/>
  <c r="H73" i="8" s="1"/>
  <c r="G115" i="5"/>
  <c r="H115" i="5" s="1"/>
  <c r="G31" i="5"/>
  <c r="H31" i="5" s="1"/>
  <c r="G136" i="5"/>
  <c r="H136" i="5" s="1"/>
  <c r="G73" i="5"/>
  <c r="H73" i="5" s="1"/>
  <c r="E84" i="15"/>
  <c r="F84" i="15" s="1"/>
  <c r="G79" i="11"/>
  <c r="H79" i="11" s="1"/>
  <c r="G138" i="10"/>
  <c r="H138" i="10" s="1"/>
  <c r="G101" i="8"/>
  <c r="H101" i="8" s="1"/>
  <c r="G11" i="7"/>
  <c r="H11" i="7" s="1"/>
  <c r="G292" i="4"/>
  <c r="H292" i="4" s="1"/>
  <c r="G12" i="8"/>
  <c r="H12" i="8" s="1"/>
  <c r="E126" i="15"/>
  <c r="F126" i="15" s="1"/>
  <c r="G75" i="11"/>
  <c r="H75" i="11" s="1"/>
  <c r="G267" i="9"/>
  <c r="H267" i="9" s="1"/>
  <c r="G56" i="9"/>
  <c r="H56" i="9" s="1"/>
  <c r="G122" i="8"/>
  <c r="H122" i="8" s="1"/>
  <c r="G97" i="11"/>
  <c r="H97" i="11" s="1"/>
  <c r="G181" i="8"/>
  <c r="H181" i="8" s="1"/>
  <c r="G117" i="9"/>
  <c r="H117" i="9" s="1"/>
  <c r="G76" i="9"/>
  <c r="H76" i="9" s="1"/>
  <c r="G209" i="9"/>
  <c r="H209" i="9" s="1"/>
  <c r="G141" i="8"/>
  <c r="H141" i="8" s="1"/>
  <c r="E114" i="15"/>
  <c r="F114" i="15" s="1"/>
  <c r="E44" i="15"/>
  <c r="F44" i="15" s="1"/>
  <c r="E32" i="15"/>
  <c r="F32" i="15" s="1"/>
  <c r="G32" i="11"/>
  <c r="H32" i="11" s="1"/>
  <c r="G157" i="7"/>
  <c r="H157" i="7" s="1"/>
  <c r="E128" i="15"/>
  <c r="F128" i="15" s="1"/>
  <c r="G100" i="11"/>
  <c r="H100" i="11" s="1"/>
  <c r="G210" i="9"/>
  <c r="H210" i="9" s="1"/>
  <c r="G266" i="9"/>
  <c r="H266" i="9" s="1"/>
  <c r="G143" i="8"/>
  <c r="H143" i="8" s="1"/>
  <c r="G81" i="8"/>
  <c r="H81" i="8" s="1"/>
  <c r="G185" i="8"/>
  <c r="H185" i="8" s="1"/>
  <c r="G121" i="8"/>
  <c r="H121" i="8" s="1"/>
  <c r="G105" i="8"/>
  <c r="H105" i="8" s="1"/>
  <c r="G8" i="4"/>
  <c r="G10" i="4"/>
  <c r="H10" i="4" s="1"/>
  <c r="G14" i="4"/>
  <c r="H14" i="4" s="1"/>
  <c r="G16" i="4"/>
  <c r="H16" i="4" s="1"/>
  <c r="G53" i="4"/>
  <c r="H53" i="4" s="1"/>
  <c r="G55" i="4"/>
  <c r="H55" i="4" s="1"/>
  <c r="G57" i="4"/>
  <c r="H57" i="4" s="1"/>
  <c r="G92" i="4"/>
  <c r="G94" i="4"/>
  <c r="H94" i="4" s="1"/>
  <c r="G96" i="4"/>
  <c r="H96" i="4" s="1"/>
  <c r="G137" i="4"/>
  <c r="H137" i="4" s="1"/>
  <c r="G176" i="4"/>
  <c r="G180" i="4"/>
  <c r="H180" i="4" s="1"/>
  <c r="G221" i="4"/>
  <c r="H221" i="4" s="1"/>
  <c r="G227" i="4"/>
  <c r="H227" i="4" s="1"/>
  <c r="G260" i="4"/>
  <c r="G264" i="4"/>
  <c r="H264" i="4" s="1"/>
  <c r="G266" i="4"/>
  <c r="H266" i="4" s="1"/>
  <c r="G268" i="4"/>
  <c r="H268" i="4" s="1"/>
  <c r="G270" i="4"/>
  <c r="H270" i="4" s="1"/>
  <c r="G272" i="4"/>
  <c r="H272" i="4" s="1"/>
  <c r="G274" i="4"/>
  <c r="H274" i="4" s="1"/>
  <c r="G10" i="5"/>
  <c r="H10" i="5" s="1"/>
  <c r="G14" i="5"/>
  <c r="H14" i="5" s="1"/>
  <c r="G52" i="5"/>
  <c r="H52" i="5" s="1"/>
  <c r="G94" i="5"/>
  <c r="H94" i="5" s="1"/>
  <c r="G98" i="5"/>
  <c r="H98" i="5" s="1"/>
  <c r="G31" i="6"/>
  <c r="H31" i="6" s="1"/>
  <c r="G76" i="6"/>
  <c r="H76" i="6" s="1"/>
  <c r="G35" i="7"/>
  <c r="H35" i="7" s="1"/>
  <c r="G113" i="7"/>
  <c r="F134" i="9"/>
  <c r="F116" i="11"/>
  <c r="F50" i="12"/>
  <c r="F134" i="13"/>
  <c r="F8" i="14"/>
  <c r="F79" i="15"/>
  <c r="G12" i="15"/>
  <c r="D12" i="15"/>
  <c r="E79" i="15"/>
  <c r="F50" i="14"/>
  <c r="F113" i="9" l="1"/>
  <c r="H113" i="9" s="1"/>
  <c r="F242" i="9"/>
  <c r="F50" i="8"/>
  <c r="F57" i="1" s="1"/>
  <c r="F8" i="13"/>
  <c r="F98" i="1" s="1"/>
  <c r="F8" i="8"/>
  <c r="H8" i="8" s="1"/>
  <c r="F50" i="11"/>
  <c r="H50" i="11" s="1"/>
  <c r="F71" i="11"/>
  <c r="H71" i="11" s="1"/>
  <c r="F62" i="15"/>
  <c r="F50" i="10"/>
  <c r="F81" i="1" s="1"/>
  <c r="F93" i="8"/>
  <c r="H93" i="8" s="1"/>
  <c r="F29" i="10"/>
  <c r="H29" i="10" s="1"/>
  <c r="F71" i="10"/>
  <c r="H71" i="10" s="1"/>
  <c r="G16" i="15"/>
  <c r="E103" i="15"/>
  <c r="F198" i="9"/>
  <c r="F74" i="1" s="1"/>
  <c r="D10" i="15"/>
  <c r="G65" i="7" s="1"/>
  <c r="H65" i="7" s="1"/>
  <c r="E116" i="15"/>
  <c r="F260" i="4"/>
  <c r="H260" i="4" s="1"/>
  <c r="G10" i="15"/>
  <c r="F50" i="9"/>
  <c r="H50" i="9" s="1"/>
  <c r="G14" i="1"/>
  <c r="G15" i="1"/>
  <c r="G16" i="1"/>
  <c r="G49" i="1"/>
  <c r="G33" i="1"/>
  <c r="G70" i="1"/>
  <c r="G76" i="1"/>
  <c r="H242" i="9"/>
  <c r="G72" i="1"/>
  <c r="H155" i="9"/>
  <c r="G67" i="1"/>
  <c r="G88" i="1"/>
  <c r="G106" i="1"/>
  <c r="H176" i="13"/>
  <c r="H106" i="1" s="1"/>
  <c r="G19" i="1"/>
  <c r="G53" i="1"/>
  <c r="G38" i="1"/>
  <c r="G81" i="1"/>
  <c r="G85" i="1"/>
  <c r="G101" i="1"/>
  <c r="H71" i="13"/>
  <c r="G89" i="1"/>
  <c r="G92" i="1"/>
  <c r="H116" i="11"/>
  <c r="G99" i="1"/>
  <c r="H29" i="13"/>
  <c r="G13" i="1"/>
  <c r="G22" i="1"/>
  <c r="G18" i="1"/>
  <c r="G30" i="1"/>
  <c r="G23" i="1"/>
  <c r="G52" i="1"/>
  <c r="G41" i="1"/>
  <c r="G34" i="1"/>
  <c r="G50" i="1"/>
  <c r="G43" i="1"/>
  <c r="G61" i="1"/>
  <c r="G51" i="1"/>
  <c r="G58" i="1"/>
  <c r="G69" i="1"/>
  <c r="G84" i="1"/>
  <c r="G103" i="1"/>
  <c r="G79" i="1"/>
  <c r="H8" i="10"/>
  <c r="G91" i="1"/>
  <c r="G77" i="1"/>
  <c r="G104" i="1"/>
  <c r="H134" i="13"/>
  <c r="G98" i="1"/>
  <c r="G46" i="1"/>
  <c r="G37" i="1"/>
  <c r="G24" i="1"/>
  <c r="G31" i="1"/>
  <c r="G44" i="1"/>
  <c r="G57" i="1"/>
  <c r="G60" i="1"/>
  <c r="G75" i="1"/>
  <c r="H221" i="9"/>
  <c r="G100" i="1"/>
  <c r="H50" i="13"/>
  <c r="I50" i="13" s="1"/>
  <c r="G87" i="1"/>
  <c r="H8" i="11"/>
  <c r="G90" i="1"/>
  <c r="G95" i="1"/>
  <c r="H29" i="12"/>
  <c r="H95" i="1" s="1"/>
  <c r="G20" i="1"/>
  <c r="G32" i="1"/>
  <c r="G36" i="1"/>
  <c r="G48" i="1"/>
  <c r="G59" i="1"/>
  <c r="G66" i="1"/>
  <c r="G80" i="1"/>
  <c r="G74" i="1"/>
  <c r="G71" i="1"/>
  <c r="H134" i="9"/>
  <c r="G107" i="1"/>
  <c r="H197" i="13"/>
  <c r="H107" i="1" s="1"/>
  <c r="G105" i="1"/>
  <c r="H155" i="13"/>
  <c r="H105" i="1" s="1"/>
  <c r="G25" i="1"/>
  <c r="G21" i="1"/>
  <c r="G17" i="1"/>
  <c r="G26" i="1"/>
  <c r="G28" i="1"/>
  <c r="G42" i="1"/>
  <c r="G55" i="1"/>
  <c r="G45" i="1"/>
  <c r="G39" i="1"/>
  <c r="G29" i="1"/>
  <c r="G47" i="1"/>
  <c r="G65" i="1"/>
  <c r="G56" i="1"/>
  <c r="G63" i="1"/>
  <c r="G73" i="1"/>
  <c r="G96" i="1"/>
  <c r="H50" i="12"/>
  <c r="G68" i="1"/>
  <c r="G83" i="1"/>
  <c r="G62" i="1"/>
  <c r="G82" i="1"/>
  <c r="G94" i="1"/>
  <c r="H8" i="12"/>
  <c r="J94" i="1" s="1"/>
  <c r="H29" i="14"/>
  <c r="J110" i="1" s="1"/>
  <c r="F55" i="1"/>
  <c r="F70" i="1"/>
  <c r="F29" i="11"/>
  <c r="H29" i="11" s="1"/>
  <c r="F104" i="1"/>
  <c r="F96" i="1"/>
  <c r="F71" i="1"/>
  <c r="E62" i="15"/>
  <c r="F95" i="11"/>
  <c r="H95" i="11" s="1"/>
  <c r="F92" i="10"/>
  <c r="H92" i="10" s="1"/>
  <c r="F92" i="9"/>
  <c r="H92" i="9" s="1"/>
  <c r="F263" i="9"/>
  <c r="H263" i="9" s="1"/>
  <c r="F89" i="15"/>
  <c r="G13" i="15"/>
  <c r="E89" i="15"/>
  <c r="D13" i="15"/>
  <c r="F103" i="15"/>
  <c r="F116" i="15"/>
  <c r="G128" i="10"/>
  <c r="H128" i="10" s="1"/>
  <c r="F113" i="10" s="1"/>
  <c r="H113" i="10" s="1"/>
  <c r="G149" i="10"/>
  <c r="H149" i="10" s="1"/>
  <c r="F134" i="10" s="1"/>
  <c r="H134" i="10" s="1"/>
  <c r="G24" i="7"/>
  <c r="H24" i="7" s="1"/>
  <c r="G301" i="4"/>
  <c r="H301" i="4" s="1"/>
  <c r="G66" i="7"/>
  <c r="H66" i="7" s="1"/>
  <c r="G66" i="6"/>
  <c r="H66" i="6" s="1"/>
  <c r="G45" i="5"/>
  <c r="H45" i="5" s="1"/>
  <c r="G44" i="7"/>
  <c r="H44" i="7" s="1"/>
  <c r="G66" i="4"/>
  <c r="H66" i="4" s="1"/>
  <c r="G87" i="7"/>
  <c r="H87" i="7" s="1"/>
  <c r="G108" i="4"/>
  <c r="H108" i="4" s="1"/>
  <c r="G24" i="4"/>
  <c r="H24" i="4" s="1"/>
  <c r="G24" i="5"/>
  <c r="H24" i="5" s="1"/>
  <c r="G45" i="4"/>
  <c r="H45" i="4" s="1"/>
  <c r="F87" i="1"/>
  <c r="F75" i="1"/>
  <c r="F52" i="15"/>
  <c r="G9" i="15"/>
  <c r="E52" i="15"/>
  <c r="D9" i="15"/>
  <c r="F79" i="1"/>
  <c r="H50" i="14"/>
  <c r="F111" i="1"/>
  <c r="F101" i="1"/>
  <c r="F92" i="1"/>
  <c r="F133" i="15"/>
  <c r="G18" i="15"/>
  <c r="E133" i="15"/>
  <c r="D18" i="15"/>
  <c r="F71" i="8"/>
  <c r="H71" i="8" s="1"/>
  <c r="F176" i="9"/>
  <c r="H176" i="9" s="1"/>
  <c r="F74" i="15"/>
  <c r="G11" i="15"/>
  <c r="E74" i="15"/>
  <c r="D11" i="15"/>
  <c r="D15" i="15"/>
  <c r="H8" i="14"/>
  <c r="F109" i="1"/>
  <c r="F72" i="1"/>
  <c r="F76" i="1"/>
  <c r="F29" i="9"/>
  <c r="H29" i="9" s="1"/>
  <c r="F122" i="15"/>
  <c r="G17" i="15"/>
  <c r="E122" i="15"/>
  <c r="D17" i="15"/>
  <c r="F37" i="15"/>
  <c r="G8" i="15"/>
  <c r="E37" i="15"/>
  <c r="D8" i="15"/>
  <c r="D16" i="15"/>
  <c r="F113" i="13"/>
  <c r="H113" i="13" s="1"/>
  <c r="F95" i="15"/>
  <c r="G14" i="15"/>
  <c r="E95" i="15"/>
  <c r="D14" i="15"/>
  <c r="F8" i="9"/>
  <c r="H8" i="9" s="1"/>
  <c r="F99" i="1"/>
  <c r="F92" i="13"/>
  <c r="F82" i="1" l="1"/>
  <c r="G86" i="7"/>
  <c r="H86" i="7" s="1"/>
  <c r="F71" i="7" s="1"/>
  <c r="H71" i="7" s="1"/>
  <c r="F67" i="1"/>
  <c r="H50" i="8"/>
  <c r="J57" i="1" s="1"/>
  <c r="H8" i="13"/>
  <c r="J98" i="1" s="1"/>
  <c r="F90" i="1"/>
  <c r="F89" i="1"/>
  <c r="F25" i="1"/>
  <c r="H50" i="10"/>
  <c r="J81" i="1" s="1"/>
  <c r="F59" i="1"/>
  <c r="I155" i="13"/>
  <c r="J155" i="13" s="1"/>
  <c r="K105" i="1" s="1"/>
  <c r="F50" i="7"/>
  <c r="H50" i="7" s="1"/>
  <c r="H198" i="9"/>
  <c r="J74" i="1" s="1"/>
  <c r="F80" i="1"/>
  <c r="H94" i="1"/>
  <c r="I29" i="14"/>
  <c r="J29" i="14" s="1"/>
  <c r="K110" i="1" s="1"/>
  <c r="J95" i="1"/>
  <c r="I8" i="12"/>
  <c r="I94" i="1" s="1"/>
  <c r="J106" i="1"/>
  <c r="I176" i="13"/>
  <c r="I106" i="1" s="1"/>
  <c r="J105" i="1"/>
  <c r="H110" i="1"/>
  <c r="I29" i="12"/>
  <c r="J29" i="12" s="1"/>
  <c r="K95" i="1" s="1"/>
  <c r="J107" i="1"/>
  <c r="J100" i="1"/>
  <c r="I197" i="13"/>
  <c r="I107" i="1" s="1"/>
  <c r="H100" i="1"/>
  <c r="F43" i="1"/>
  <c r="F66" i="1"/>
  <c r="I71" i="11"/>
  <c r="H90" i="1"/>
  <c r="J90" i="1"/>
  <c r="F85" i="1"/>
  <c r="I29" i="13"/>
  <c r="J99" i="1"/>
  <c r="H99" i="1"/>
  <c r="G212" i="7"/>
  <c r="H212" i="7" s="1"/>
  <c r="F197" i="7" s="1"/>
  <c r="H197" i="7" s="1"/>
  <c r="G191" i="7"/>
  <c r="H191" i="7" s="1"/>
  <c r="F176" i="7" s="1"/>
  <c r="H176" i="7" s="1"/>
  <c r="I71" i="10"/>
  <c r="H82" i="1"/>
  <c r="J82" i="1"/>
  <c r="I50" i="14"/>
  <c r="J111" i="1"/>
  <c r="H111" i="1"/>
  <c r="G275" i="7"/>
  <c r="H275" i="7" s="1"/>
  <c r="F260" i="7" s="1"/>
  <c r="H260" i="7" s="1"/>
  <c r="G149" i="4"/>
  <c r="H149" i="4" s="1"/>
  <c r="F134" i="4" s="1"/>
  <c r="H134" i="4" s="1"/>
  <c r="F77" i="1"/>
  <c r="I50" i="9"/>
  <c r="J67" i="1"/>
  <c r="H67" i="1"/>
  <c r="I8" i="8"/>
  <c r="H55" i="1"/>
  <c r="J55" i="1"/>
  <c r="F84" i="1"/>
  <c r="I155" i="9"/>
  <c r="H72" i="1"/>
  <c r="J72" i="1"/>
  <c r="F73" i="1"/>
  <c r="I71" i="13"/>
  <c r="H101" i="1"/>
  <c r="J101" i="1"/>
  <c r="I8" i="10"/>
  <c r="J79" i="1"/>
  <c r="H79" i="1"/>
  <c r="I8" i="11"/>
  <c r="H87" i="1"/>
  <c r="J87" i="1"/>
  <c r="F65" i="1"/>
  <c r="G86" i="9"/>
  <c r="H86" i="9" s="1"/>
  <c r="F71" i="9" s="1"/>
  <c r="H71" i="9" s="1"/>
  <c r="G234" i="7"/>
  <c r="H234" i="7" s="1"/>
  <c r="F218" i="7" s="1"/>
  <c r="H218" i="7" s="1"/>
  <c r="G149" i="7"/>
  <c r="H149" i="7" s="1"/>
  <c r="F134" i="7" s="1"/>
  <c r="H134" i="7" s="1"/>
  <c r="G65" i="6"/>
  <c r="H65" i="6" s="1"/>
  <c r="F50" i="6" s="1"/>
  <c r="H50" i="6" s="1"/>
  <c r="G128" i="5"/>
  <c r="H128" i="5" s="1"/>
  <c r="F113" i="5" s="1"/>
  <c r="H113" i="5" s="1"/>
  <c r="G44" i="5"/>
  <c r="H44" i="5" s="1"/>
  <c r="F29" i="5" s="1"/>
  <c r="H29" i="5" s="1"/>
  <c r="G255" i="7"/>
  <c r="H255" i="7" s="1"/>
  <c r="F239" i="7" s="1"/>
  <c r="H239" i="7" s="1"/>
  <c r="G170" i="7"/>
  <c r="H170" i="7" s="1"/>
  <c r="F155" i="7" s="1"/>
  <c r="H155" i="7" s="1"/>
  <c r="G45" i="7"/>
  <c r="H45" i="7" s="1"/>
  <c r="F29" i="7" s="1"/>
  <c r="H29" i="7" s="1"/>
  <c r="G86" i="6"/>
  <c r="H86" i="6" s="1"/>
  <c r="F71" i="6" s="1"/>
  <c r="H71" i="6" s="1"/>
  <c r="G149" i="5"/>
  <c r="H149" i="5" s="1"/>
  <c r="G107" i="7"/>
  <c r="H107" i="7" s="1"/>
  <c r="F92" i="7" s="1"/>
  <c r="H92" i="7" s="1"/>
  <c r="G23" i="7"/>
  <c r="H23" i="7" s="1"/>
  <c r="F8" i="7" s="1"/>
  <c r="H8" i="7" s="1"/>
  <c r="G23" i="6"/>
  <c r="H23" i="6" s="1"/>
  <c r="F8" i="6" s="1"/>
  <c r="H8" i="6" s="1"/>
  <c r="G86" i="5"/>
  <c r="H86" i="5" s="1"/>
  <c r="F71" i="5" s="1"/>
  <c r="H71" i="5" s="1"/>
  <c r="G300" i="4"/>
  <c r="H300" i="4" s="1"/>
  <c r="F285" i="4" s="1"/>
  <c r="H285" i="4" s="1"/>
  <c r="G107" i="5"/>
  <c r="H107" i="5" s="1"/>
  <c r="F92" i="5" s="1"/>
  <c r="H92" i="5" s="1"/>
  <c r="G65" i="5"/>
  <c r="H65" i="5" s="1"/>
  <c r="F50" i="5" s="1"/>
  <c r="H50" i="5" s="1"/>
  <c r="G23" i="5"/>
  <c r="H23" i="5" s="1"/>
  <c r="F8" i="5" s="1"/>
  <c r="H8" i="5" s="1"/>
  <c r="G191" i="4"/>
  <c r="H191" i="4" s="1"/>
  <c r="F176" i="4" s="1"/>
  <c r="H176" i="4" s="1"/>
  <c r="G107" i="4"/>
  <c r="H107" i="4" s="1"/>
  <c r="F92" i="4" s="1"/>
  <c r="H92" i="4" s="1"/>
  <c r="G23" i="4"/>
  <c r="H23" i="4" s="1"/>
  <c r="F8" i="4" s="1"/>
  <c r="H8" i="4" s="1"/>
  <c r="G212" i="4"/>
  <c r="H212" i="4" s="1"/>
  <c r="G128" i="4"/>
  <c r="H128" i="4" s="1"/>
  <c r="F113" i="4" s="1"/>
  <c r="H113" i="4" s="1"/>
  <c r="G44" i="4"/>
  <c r="H44" i="4" s="1"/>
  <c r="F29" i="4" s="1"/>
  <c r="H29" i="4" s="1"/>
  <c r="G86" i="4"/>
  <c r="H86" i="4" s="1"/>
  <c r="F71" i="4" s="1"/>
  <c r="H71" i="4" s="1"/>
  <c r="G128" i="7"/>
  <c r="H128" i="7" s="1"/>
  <c r="F113" i="7" s="1"/>
  <c r="H113" i="7" s="1"/>
  <c r="G44" i="6"/>
  <c r="H44" i="6" s="1"/>
  <c r="F29" i="6" s="1"/>
  <c r="H29" i="6" s="1"/>
  <c r="G233" i="4"/>
  <c r="H233" i="4" s="1"/>
  <c r="F218" i="4" s="1"/>
  <c r="H218" i="4" s="1"/>
  <c r="G65" i="4"/>
  <c r="H65" i="4" s="1"/>
  <c r="F50" i="4" s="1"/>
  <c r="H50" i="4" s="1"/>
  <c r="G254" i="4"/>
  <c r="H254" i="4" s="1"/>
  <c r="G172" i="8"/>
  <c r="H172" i="8" s="1"/>
  <c r="G151" i="5"/>
  <c r="H151" i="5" s="1"/>
  <c r="G170" i="4"/>
  <c r="H170" i="4" s="1"/>
  <c r="F155" i="4" s="1"/>
  <c r="H155" i="4" s="1"/>
  <c r="I8" i="14"/>
  <c r="H109" i="1"/>
  <c r="J109" i="1"/>
  <c r="F58" i="1"/>
  <c r="I116" i="11"/>
  <c r="J92" i="1"/>
  <c r="H92" i="1"/>
  <c r="G130" i="8"/>
  <c r="H130" i="8" s="1"/>
  <c r="F115" i="8" s="1"/>
  <c r="H115" i="8" s="1"/>
  <c r="G151" i="8"/>
  <c r="H151" i="8" s="1"/>
  <c r="F136" i="8" s="1"/>
  <c r="H136" i="8" s="1"/>
  <c r="G44" i="8"/>
  <c r="H44" i="8" s="1"/>
  <c r="F29" i="8" s="1"/>
  <c r="H29" i="8" s="1"/>
  <c r="G193" i="8"/>
  <c r="H193" i="8" s="1"/>
  <c r="F178" i="8" s="1"/>
  <c r="H178" i="8" s="1"/>
  <c r="I93" i="8"/>
  <c r="H59" i="1"/>
  <c r="J59" i="1"/>
  <c r="F69" i="1"/>
  <c r="F91" i="1"/>
  <c r="J50" i="13"/>
  <c r="K100" i="1" s="1"/>
  <c r="I100" i="1"/>
  <c r="I50" i="12"/>
  <c r="H96" i="1"/>
  <c r="J96" i="1"/>
  <c r="J25" i="1"/>
  <c r="H25" i="1"/>
  <c r="I260" i="4"/>
  <c r="I50" i="11"/>
  <c r="J89" i="1"/>
  <c r="H89" i="1"/>
  <c r="I134" i="13"/>
  <c r="H104" i="1"/>
  <c r="J104" i="1"/>
  <c r="H92" i="13"/>
  <c r="F102" i="1"/>
  <c r="G173" i="8"/>
  <c r="H173" i="8" s="1"/>
  <c r="G150" i="5"/>
  <c r="H150" i="5" s="1"/>
  <c r="G255" i="4"/>
  <c r="H255" i="4" s="1"/>
  <c r="G213" i="4"/>
  <c r="H213" i="4" s="1"/>
  <c r="F103" i="1"/>
  <c r="I8" i="13"/>
  <c r="I29" i="10"/>
  <c r="J80" i="1"/>
  <c r="H80" i="1"/>
  <c r="I242" i="9"/>
  <c r="H76" i="1"/>
  <c r="J76" i="1"/>
  <c r="I221" i="9"/>
  <c r="J75" i="1"/>
  <c r="H75" i="1"/>
  <c r="F83" i="1"/>
  <c r="I134" i="9"/>
  <c r="J71" i="1"/>
  <c r="H71" i="1"/>
  <c r="F88" i="1"/>
  <c r="I113" i="9"/>
  <c r="J70" i="1"/>
  <c r="H70" i="1"/>
  <c r="H57" i="1" l="1"/>
  <c r="I50" i="8"/>
  <c r="H81" i="1"/>
  <c r="H98" i="1"/>
  <c r="I50" i="10"/>
  <c r="I110" i="1"/>
  <c r="I198" i="9"/>
  <c r="I105" i="1"/>
  <c r="F44" i="1"/>
  <c r="J176" i="13"/>
  <c r="K106" i="1" s="1"/>
  <c r="H74" i="1"/>
  <c r="F239" i="4"/>
  <c r="H239" i="4" s="1"/>
  <c r="F197" i="4"/>
  <c r="H197" i="4" s="1"/>
  <c r="F134" i="5"/>
  <c r="H134" i="5" s="1"/>
  <c r="J8" i="12"/>
  <c r="K94" i="1" s="1"/>
  <c r="I95" i="1"/>
  <c r="J197" i="13"/>
  <c r="K107" i="1" s="1"/>
  <c r="F28" i="1"/>
  <c r="F50" i="1"/>
  <c r="J29" i="10"/>
  <c r="K80" i="1" s="1"/>
  <c r="I80" i="1"/>
  <c r="J134" i="13"/>
  <c r="K104" i="1" s="1"/>
  <c r="I104" i="1"/>
  <c r="J260" i="4"/>
  <c r="K25" i="1" s="1"/>
  <c r="I25" i="1"/>
  <c r="F63" i="1"/>
  <c r="I71" i="8"/>
  <c r="J58" i="1"/>
  <c r="H58" i="1"/>
  <c r="F20" i="1"/>
  <c r="F15" i="1"/>
  <c r="F16" i="1"/>
  <c r="F13" i="1"/>
  <c r="F30" i="1"/>
  <c r="F36" i="1"/>
  <c r="F39" i="1"/>
  <c r="F29" i="1"/>
  <c r="F51" i="1"/>
  <c r="J71" i="13"/>
  <c r="K101" i="1" s="1"/>
  <c r="I101" i="1"/>
  <c r="F19" i="1"/>
  <c r="I29" i="9"/>
  <c r="J66" i="1"/>
  <c r="H66" i="1"/>
  <c r="I29" i="11"/>
  <c r="J88" i="1"/>
  <c r="H88" i="1"/>
  <c r="I113" i="13"/>
  <c r="J103" i="1"/>
  <c r="H103" i="1"/>
  <c r="J50" i="11"/>
  <c r="K89" i="1" s="1"/>
  <c r="I89" i="1"/>
  <c r="I92" i="9"/>
  <c r="H69" i="1"/>
  <c r="J69" i="1"/>
  <c r="J50" i="8"/>
  <c r="K57" i="1" s="1"/>
  <c r="I57" i="1"/>
  <c r="F46" i="1"/>
  <c r="F31" i="1"/>
  <c r="F52" i="1"/>
  <c r="I8" i="9"/>
  <c r="H65" i="1"/>
  <c r="J65" i="1"/>
  <c r="I113" i="10"/>
  <c r="J84" i="1"/>
  <c r="H84" i="1"/>
  <c r="I263" i="9"/>
  <c r="H77" i="1"/>
  <c r="J77" i="1"/>
  <c r="J44" i="1"/>
  <c r="H44" i="1"/>
  <c r="I71" i="7"/>
  <c r="I134" i="10"/>
  <c r="H85" i="1"/>
  <c r="J85" i="1"/>
  <c r="J134" i="9"/>
  <c r="K71" i="1" s="1"/>
  <c r="I71" i="1"/>
  <c r="J113" i="9"/>
  <c r="K70" i="1" s="1"/>
  <c r="I70" i="1"/>
  <c r="J221" i="9"/>
  <c r="K75" i="1" s="1"/>
  <c r="I75" i="1"/>
  <c r="J242" i="9"/>
  <c r="K76" i="1" s="1"/>
  <c r="I76" i="1"/>
  <c r="J8" i="13"/>
  <c r="K98" i="1" s="1"/>
  <c r="I98" i="1"/>
  <c r="I92" i="13"/>
  <c r="J102" i="1"/>
  <c r="H102" i="1"/>
  <c r="J50" i="12"/>
  <c r="K96" i="1" s="1"/>
  <c r="I96" i="1"/>
  <c r="I95" i="11"/>
  <c r="H91" i="1"/>
  <c r="J91" i="1"/>
  <c r="F56" i="1"/>
  <c r="F23" i="1"/>
  <c r="F14" i="1"/>
  <c r="F17" i="1"/>
  <c r="F32" i="1"/>
  <c r="F41" i="1"/>
  <c r="F42" i="1"/>
  <c r="F33" i="1"/>
  <c r="F68" i="1"/>
  <c r="J8" i="10"/>
  <c r="K79" i="1" s="1"/>
  <c r="I79" i="1"/>
  <c r="J155" i="9"/>
  <c r="K72" i="1" s="1"/>
  <c r="I72" i="1"/>
  <c r="J50" i="9"/>
  <c r="K67" i="1" s="1"/>
  <c r="I67" i="1"/>
  <c r="F53" i="1"/>
  <c r="J71" i="10"/>
  <c r="K82" i="1" s="1"/>
  <c r="I82" i="1"/>
  <c r="J198" i="9"/>
  <c r="K74" i="1" s="1"/>
  <c r="I74" i="1"/>
  <c r="F60" i="1"/>
  <c r="J8" i="14"/>
  <c r="K109" i="1" s="1"/>
  <c r="I109" i="1"/>
  <c r="F22" i="1"/>
  <c r="F47" i="1"/>
  <c r="I92" i="10"/>
  <c r="J83" i="1"/>
  <c r="H83" i="1"/>
  <c r="J50" i="10"/>
  <c r="K81" i="1" s="1"/>
  <c r="I81" i="1"/>
  <c r="J93" i="8"/>
  <c r="K59" i="1" s="1"/>
  <c r="I59" i="1"/>
  <c r="F61" i="1"/>
  <c r="J116" i="11"/>
  <c r="K92" i="1" s="1"/>
  <c r="I92" i="1"/>
  <c r="F157" i="8"/>
  <c r="H157" i="8" s="1"/>
  <c r="F37" i="1"/>
  <c r="F18" i="1"/>
  <c r="F21" i="1"/>
  <c r="F26" i="1"/>
  <c r="F45" i="1"/>
  <c r="F48" i="1"/>
  <c r="F38" i="1"/>
  <c r="J8" i="11"/>
  <c r="K87" i="1" s="1"/>
  <c r="I87" i="1"/>
  <c r="I176" i="9"/>
  <c r="H73" i="1"/>
  <c r="J73" i="1"/>
  <c r="J8" i="8"/>
  <c r="K55" i="1" s="1"/>
  <c r="I55" i="1"/>
  <c r="J50" i="14"/>
  <c r="K111" i="1" s="1"/>
  <c r="I111" i="1"/>
  <c r="F49" i="1"/>
  <c r="J29" i="13"/>
  <c r="K99" i="1" s="1"/>
  <c r="I99" i="1"/>
  <c r="J71" i="11"/>
  <c r="K90" i="1" s="1"/>
  <c r="I90" i="1"/>
  <c r="I50" i="7"/>
  <c r="H43" i="1"/>
  <c r="J43" i="1"/>
  <c r="F34" i="1" l="1"/>
  <c r="F24" i="1"/>
  <c r="H28" i="1"/>
  <c r="I8" i="5"/>
  <c r="J28" i="1"/>
  <c r="J21" i="1"/>
  <c r="H21" i="1"/>
  <c r="I176" i="4"/>
  <c r="I113" i="7"/>
  <c r="H46" i="1"/>
  <c r="J46" i="1"/>
  <c r="I8" i="6"/>
  <c r="J36" i="1"/>
  <c r="H36" i="1"/>
  <c r="I50" i="6"/>
  <c r="H38" i="1"/>
  <c r="J38" i="1"/>
  <c r="I29" i="6"/>
  <c r="H37" i="1"/>
  <c r="J37" i="1"/>
  <c r="I71" i="9"/>
  <c r="H68" i="1"/>
  <c r="J68" i="1"/>
  <c r="H32" i="1"/>
  <c r="J32" i="1"/>
  <c r="I92" i="5"/>
  <c r="I29" i="8"/>
  <c r="H56" i="1"/>
  <c r="J56" i="1"/>
  <c r="J92" i="13"/>
  <c r="K102" i="1" s="1"/>
  <c r="I102" i="1"/>
  <c r="I71" i="5"/>
  <c r="J31" i="1"/>
  <c r="H31" i="1"/>
  <c r="J92" i="9"/>
  <c r="K69" i="1" s="1"/>
  <c r="I69" i="1"/>
  <c r="J29" i="11"/>
  <c r="K88" i="1" s="1"/>
  <c r="I88" i="1"/>
  <c r="I176" i="7"/>
  <c r="J49" i="1"/>
  <c r="H49" i="1"/>
  <c r="F62" i="1"/>
  <c r="I136" i="8"/>
  <c r="J61" i="1"/>
  <c r="H61" i="1"/>
  <c r="J17" i="1"/>
  <c r="H17" i="1"/>
  <c r="I92" i="4"/>
  <c r="I218" i="4"/>
  <c r="H23" i="1"/>
  <c r="J23" i="1"/>
  <c r="J134" i="10"/>
  <c r="K85" i="1" s="1"/>
  <c r="I85" i="1"/>
  <c r="J8" i="9"/>
  <c r="K65" i="1" s="1"/>
  <c r="I65" i="1"/>
  <c r="J113" i="13"/>
  <c r="K103" i="1" s="1"/>
  <c r="I103" i="1"/>
  <c r="I134" i="4"/>
  <c r="H19" i="1"/>
  <c r="J19" i="1"/>
  <c r="I218" i="7"/>
  <c r="H51" i="1"/>
  <c r="J51" i="1"/>
  <c r="J39" i="1"/>
  <c r="H39" i="1"/>
  <c r="I71" i="6"/>
  <c r="J30" i="1"/>
  <c r="H30" i="1"/>
  <c r="I50" i="5"/>
  <c r="I71" i="4"/>
  <c r="H16" i="1"/>
  <c r="J16" i="1"/>
  <c r="I155" i="4"/>
  <c r="H20" i="1"/>
  <c r="J20" i="1"/>
  <c r="J50" i="7"/>
  <c r="K43" i="1" s="1"/>
  <c r="I43" i="1"/>
  <c r="J95" i="11"/>
  <c r="K91" i="1" s="1"/>
  <c r="I91" i="1"/>
  <c r="J263" i="9"/>
  <c r="K77" i="1" s="1"/>
  <c r="I77" i="1"/>
  <c r="I239" i="7"/>
  <c r="J52" i="1"/>
  <c r="H52" i="1"/>
  <c r="J29" i="9"/>
  <c r="K66" i="1" s="1"/>
  <c r="I66" i="1"/>
  <c r="I29" i="5"/>
  <c r="H29" i="1"/>
  <c r="J29" i="1"/>
  <c r="I50" i="4"/>
  <c r="H15" i="1"/>
  <c r="J15" i="1"/>
  <c r="J176" i="9"/>
  <c r="K73" i="1" s="1"/>
  <c r="I73" i="1"/>
  <c r="I92" i="7"/>
  <c r="J45" i="1"/>
  <c r="H45" i="1"/>
  <c r="J92" i="10"/>
  <c r="K83" i="1" s="1"/>
  <c r="I83" i="1"/>
  <c r="I134" i="5"/>
  <c r="J34" i="1"/>
  <c r="H34" i="1"/>
  <c r="I260" i="7"/>
  <c r="J53" i="1"/>
  <c r="H53" i="1"/>
  <c r="I29" i="7"/>
  <c r="H42" i="1"/>
  <c r="J42" i="1"/>
  <c r="J14" i="1"/>
  <c r="I29" i="4"/>
  <c r="H14" i="1"/>
  <c r="J71" i="8"/>
  <c r="K58" i="1" s="1"/>
  <c r="I58" i="1"/>
  <c r="I155" i="7"/>
  <c r="J48" i="1"/>
  <c r="H48" i="1"/>
  <c r="I285" i="4"/>
  <c r="J26" i="1"/>
  <c r="H26" i="1"/>
  <c r="J18" i="1"/>
  <c r="I113" i="4"/>
  <c r="H18" i="1"/>
  <c r="I134" i="7"/>
  <c r="H47" i="1"/>
  <c r="J47" i="1"/>
  <c r="J22" i="1"/>
  <c r="I197" i="4"/>
  <c r="H22" i="1"/>
  <c r="I115" i="8"/>
  <c r="H60" i="1"/>
  <c r="J60" i="1"/>
  <c r="I113" i="5"/>
  <c r="H33" i="1"/>
  <c r="J33" i="1"/>
  <c r="I8" i="7"/>
  <c r="J41" i="1"/>
  <c r="H41" i="1"/>
  <c r="J71" i="7"/>
  <c r="K44" i="1" s="1"/>
  <c r="I44" i="1"/>
  <c r="J113" i="10"/>
  <c r="K84" i="1" s="1"/>
  <c r="I84" i="1"/>
  <c r="J13" i="1"/>
  <c r="H13" i="1"/>
  <c r="I8" i="4"/>
  <c r="I178" i="8"/>
  <c r="H63" i="1"/>
  <c r="J63" i="1"/>
  <c r="I197" i="7"/>
  <c r="H50" i="1"/>
  <c r="J50" i="1"/>
  <c r="I239" i="4"/>
  <c r="H24" i="1"/>
  <c r="J24" i="1"/>
  <c r="J115" i="8" l="1"/>
  <c r="K60" i="1" s="1"/>
  <c r="I60" i="1"/>
  <c r="I26" i="1"/>
  <c r="J285" i="4"/>
  <c r="K26" i="1" s="1"/>
  <c r="J218" i="7"/>
  <c r="K51" i="1" s="1"/>
  <c r="I51" i="1"/>
  <c r="J29" i="6"/>
  <c r="K37" i="1" s="1"/>
  <c r="I37" i="1"/>
  <c r="J178" i="8"/>
  <c r="K63" i="1" s="1"/>
  <c r="I63" i="1"/>
  <c r="I18" i="1"/>
  <c r="J113" i="4"/>
  <c r="K18" i="1" s="1"/>
  <c r="J155" i="4"/>
  <c r="K20" i="1" s="1"/>
  <c r="I20" i="1"/>
  <c r="J218" i="4"/>
  <c r="K23" i="1" s="1"/>
  <c r="I23" i="1"/>
  <c r="I157" i="8"/>
  <c r="J62" i="1"/>
  <c r="H62" i="1"/>
  <c r="J92" i="5"/>
  <c r="K32" i="1" s="1"/>
  <c r="I32" i="1"/>
  <c r="J197" i="7"/>
  <c r="K50" i="1" s="1"/>
  <c r="I50" i="1"/>
  <c r="J134" i="5"/>
  <c r="K34" i="1" s="1"/>
  <c r="I34" i="1"/>
  <c r="J92" i="4"/>
  <c r="K17" i="1" s="1"/>
  <c r="I17" i="1"/>
  <c r="J71" i="9"/>
  <c r="K68" i="1" s="1"/>
  <c r="I68" i="1"/>
  <c r="J113" i="7"/>
  <c r="K46" i="1" s="1"/>
  <c r="I46" i="1"/>
  <c r="J239" i="4"/>
  <c r="K24" i="1" s="1"/>
  <c r="I24" i="1"/>
  <c r="I41" i="1"/>
  <c r="J8" i="7"/>
  <c r="K41" i="1" s="1"/>
  <c r="I22" i="1"/>
  <c r="J197" i="4"/>
  <c r="K22" i="1" s="1"/>
  <c r="J134" i="7"/>
  <c r="K47" i="1" s="1"/>
  <c r="I47" i="1"/>
  <c r="J260" i="7"/>
  <c r="K53" i="1" s="1"/>
  <c r="I53" i="1"/>
  <c r="J92" i="7"/>
  <c r="K45" i="1" s="1"/>
  <c r="I45" i="1"/>
  <c r="I29" i="1"/>
  <c r="J29" i="5"/>
  <c r="K29" i="1" s="1"/>
  <c r="J136" i="8"/>
  <c r="K61" i="1" s="1"/>
  <c r="I61" i="1"/>
  <c r="I31" i="1"/>
  <c r="J71" i="5"/>
  <c r="K31" i="1" s="1"/>
  <c r="J8" i="6"/>
  <c r="K36" i="1" s="1"/>
  <c r="I36" i="1"/>
  <c r="J176" i="4"/>
  <c r="K21" i="1" s="1"/>
  <c r="I21" i="1"/>
  <c r="J8" i="5"/>
  <c r="K28" i="1" s="1"/>
  <c r="I28" i="1"/>
  <c r="J50" i="5"/>
  <c r="K30" i="1" s="1"/>
  <c r="I30" i="1"/>
  <c r="J8" i="4"/>
  <c r="K13" i="1" s="1"/>
  <c r="I13" i="1"/>
  <c r="J113" i="5"/>
  <c r="K33" i="1" s="1"/>
  <c r="I33" i="1"/>
  <c r="J155" i="7"/>
  <c r="K48" i="1" s="1"/>
  <c r="I48" i="1"/>
  <c r="I14" i="1"/>
  <c r="J29" i="4"/>
  <c r="K14" i="1" s="1"/>
  <c r="J29" i="7"/>
  <c r="K42" i="1" s="1"/>
  <c r="I42" i="1"/>
  <c r="J50" i="4"/>
  <c r="K15" i="1" s="1"/>
  <c r="I15" i="1"/>
  <c r="J239" i="7"/>
  <c r="K52" i="1" s="1"/>
  <c r="I52" i="1"/>
  <c r="J71" i="4"/>
  <c r="K16" i="1" s="1"/>
  <c r="I16" i="1"/>
  <c r="J71" i="6"/>
  <c r="K39" i="1" s="1"/>
  <c r="I39" i="1"/>
  <c r="J134" i="4"/>
  <c r="K19" i="1" s="1"/>
  <c r="I19" i="1"/>
  <c r="I49" i="1"/>
  <c r="J176" i="7"/>
  <c r="K49" i="1" s="1"/>
  <c r="J29" i="8"/>
  <c r="K56" i="1" s="1"/>
  <c r="I56" i="1"/>
  <c r="J50" i="6"/>
  <c r="K38" i="1" s="1"/>
  <c r="I38" i="1"/>
  <c r="H6" i="1" l="1"/>
  <c r="J157" i="8"/>
  <c r="K62" i="1" s="1"/>
  <c r="I62" i="1"/>
  <c r="F6" i="1" s="1"/>
</calcChain>
</file>

<file path=xl/sharedStrings.xml><?xml version="1.0" encoding="utf-8"?>
<sst xmlns="http://schemas.openxmlformats.org/spreadsheetml/2006/main" count="3158" uniqueCount="509">
  <si>
    <r>
      <rPr>
        <b/>
        <sz val="15"/>
        <color rgb="FFFFFFFF"/>
        <rFont val="맑은 고딕"/>
        <family val="3"/>
        <charset val="129"/>
      </rPr>
      <t xml:space="preserve">EVEREST RESTAURANT GROUP  ·  </t>
    </r>
    <r>
      <rPr>
        <b/>
        <sz val="15"/>
        <color rgb="FFFFFFFF"/>
        <rFont val="Noto Sans CJK SC"/>
        <family val="2"/>
      </rPr>
      <t xml:space="preserve">메뉴 원가 관리 시스템  </t>
    </r>
    <r>
      <rPr>
        <b/>
        <sz val="15"/>
        <color rgb="FFFFFFFF"/>
        <rFont val="맑은 고딕"/>
        <family val="3"/>
        <charset val="129"/>
      </rPr>
      <t>(</t>
    </r>
    <r>
      <rPr>
        <b/>
        <sz val="15"/>
        <color rgb="FFFFFFFF"/>
        <rFont val="Noto Sans CJK SC"/>
        <family val="2"/>
      </rPr>
      <t>식재료</t>
    </r>
    <r>
      <rPr>
        <b/>
        <sz val="15"/>
        <color rgb="FFFFFFFF"/>
        <rFont val="맑은 고딕"/>
        <family val="3"/>
        <charset val="129"/>
      </rPr>
      <t>·</t>
    </r>
    <r>
      <rPr>
        <b/>
        <sz val="15"/>
        <color rgb="FFFFFFFF"/>
        <rFont val="Noto Sans CJK SC"/>
        <family val="2"/>
      </rPr>
      <t>고정비 자동 연동</t>
    </r>
    <r>
      <rPr>
        <b/>
        <sz val="15"/>
        <color rgb="FFFFFFFF"/>
        <rFont val="맑은 고딕"/>
        <family val="3"/>
        <charset val="129"/>
      </rPr>
      <t>)</t>
    </r>
  </si>
  <si>
    <t>전체 메뉴</t>
  </si>
  <si>
    <t>식재료 원가율</t>
  </si>
  <si>
    <t>총 원가율 (식재료+고정)</t>
  </si>
  <si>
    <t>원가율 현황</t>
  </si>
  <si>
    <t xml:space="preserve">  📋  전체 메뉴 원가 현황  ─  식재료 DB·고정비용 DB 수정 시 자동 갱신</t>
  </si>
  <si>
    <t>No.</t>
  </si>
  <si>
    <t>메뉴명</t>
  </si>
  <si>
    <t>카테고리</t>
  </si>
  <si>
    <t>판매가(원)</t>
  </si>
  <si>
    <t>식재료원가</t>
  </si>
  <si>
    <t>고정비용</t>
  </si>
  <si>
    <t>총 원가</t>
  </si>
  <si>
    <t>총 원가율</t>
  </si>
  <si>
    <t>마진(원)</t>
  </si>
  <si>
    <t>판정</t>
  </si>
  <si>
    <t xml:space="preserve">  🍗 닭고기 커리</t>
  </si>
  <si>
    <t>치킨머커니</t>
  </si>
  <si>
    <t>🍗 닭고기 커리</t>
  </si>
  <si>
    <t>치킨 커리</t>
  </si>
  <si>
    <t>치킨 마살라</t>
  </si>
  <si>
    <t>커다이 치킨</t>
  </si>
  <si>
    <t>치킨 티카 마살라</t>
  </si>
  <si>
    <t>스페셜 커리치킨</t>
  </si>
  <si>
    <t>베이비 커리</t>
  </si>
  <si>
    <t>진저 치킨</t>
  </si>
  <si>
    <t>치킨 빈달루</t>
  </si>
  <si>
    <t>치킨 코르마</t>
  </si>
  <si>
    <t>커다이치킨</t>
  </si>
  <si>
    <t>버터 치킨</t>
  </si>
  <si>
    <t>치킨 칠리</t>
  </si>
  <si>
    <t>스페셜치킨커리</t>
  </si>
  <si>
    <t xml:space="preserve">  🐑 양고기 커리</t>
  </si>
  <si>
    <t>머턴 커리</t>
  </si>
  <si>
    <t>🐑 양고기 커리</t>
  </si>
  <si>
    <t>머턴 마살라</t>
  </si>
  <si>
    <t>머턴 도 피아자</t>
  </si>
  <si>
    <t>머턴 코르마</t>
  </si>
  <si>
    <t>머턴 빈달루</t>
  </si>
  <si>
    <t>머턴 아차르</t>
  </si>
  <si>
    <t>머턴 사그</t>
  </si>
  <si>
    <t xml:space="preserve">  🥚 에그·해산물 커리</t>
  </si>
  <si>
    <t>에그 커리</t>
  </si>
  <si>
    <t>🥚 에그·해산물 커리</t>
  </si>
  <si>
    <t>프라운커리</t>
  </si>
  <si>
    <t>프라운 칠리 커리</t>
  </si>
  <si>
    <t>해산물 빈달루</t>
  </si>
  <si>
    <t xml:space="preserve">  🥦 야채·달 커리</t>
  </si>
  <si>
    <t>머라이 코프타</t>
  </si>
  <si>
    <t>🥦 야채·달 커리</t>
  </si>
  <si>
    <t>퍼니르 버터 마살라</t>
  </si>
  <si>
    <t>펄럭 퍼니르</t>
  </si>
  <si>
    <t>알루 펄럭</t>
  </si>
  <si>
    <t>알루 고비</t>
  </si>
  <si>
    <t>쩌나 마살라</t>
  </si>
  <si>
    <t>모듬 야채 커리</t>
  </si>
  <si>
    <t>머쉬룸 커리</t>
  </si>
  <si>
    <t>달 머커니</t>
  </si>
  <si>
    <t>달 터드카</t>
  </si>
  <si>
    <t>커다이 퍼니르</t>
  </si>
  <si>
    <t>마타 퍼니르</t>
  </si>
  <si>
    <t>야채 나바라탄 코르마</t>
  </si>
  <si>
    <t xml:space="preserve">  🔥 탄두리·케밥</t>
  </si>
  <si>
    <t>치킨 멀라이 케밥</t>
  </si>
  <si>
    <t>🔥 탄두리·케밥</t>
  </si>
  <si>
    <t>치킨 티카</t>
  </si>
  <si>
    <t>치킨 탕그리 케밥</t>
  </si>
  <si>
    <t>머턴 세꾸와</t>
  </si>
  <si>
    <t>믹스 탄두리 플래터</t>
  </si>
  <si>
    <t>탄두리 치킨(반마리)</t>
  </si>
  <si>
    <t>탄두리 치킨(한마리)</t>
  </si>
  <si>
    <t>치킨시크케밥</t>
  </si>
  <si>
    <t>탄두리치킨(한마리</t>
  </si>
  <si>
    <t xml:space="preserve">  🥟 스낵·면·만두</t>
  </si>
  <si>
    <t>모모</t>
  </si>
  <si>
    <t>🥟 스낵·면·만두</t>
  </si>
  <si>
    <t>졸 모모</t>
  </si>
  <si>
    <t>자오미엔</t>
  </si>
  <si>
    <t>베지 자오미엔</t>
  </si>
  <si>
    <t>사모사</t>
  </si>
  <si>
    <t>스프링롤</t>
  </si>
  <si>
    <t>프렌치 프라이</t>
  </si>
  <si>
    <t>퍼니르 퍼코다</t>
  </si>
  <si>
    <t>알루덤</t>
  </si>
  <si>
    <t>뚝파</t>
  </si>
  <si>
    <t>드라이 파펃</t>
  </si>
  <si>
    <t>마살라 파펃</t>
  </si>
  <si>
    <t>퍼코다</t>
  </si>
  <si>
    <t xml:space="preserve">  🫓 빵류</t>
  </si>
  <si>
    <t>허니난</t>
  </si>
  <si>
    <t>🫓 빵류</t>
  </si>
  <si>
    <t>치즈난</t>
  </si>
  <si>
    <t>플레인난</t>
  </si>
  <si>
    <t>갈릭 난</t>
  </si>
  <si>
    <t>버터 난</t>
  </si>
  <si>
    <t>알루 파라타</t>
  </si>
  <si>
    <t>굴자빵</t>
  </si>
  <si>
    <t xml:space="preserve">  🍚 밥·스프·샐러드</t>
  </si>
  <si>
    <t>치킨 스프</t>
  </si>
  <si>
    <t>🍚 밥·스프·샐러드</t>
  </si>
  <si>
    <t>머쉬룸 스프</t>
  </si>
  <si>
    <t>핫&amp;사워 스프</t>
  </si>
  <si>
    <t>탄두리 티카 샐러드</t>
  </si>
  <si>
    <t>그린 샐러드</t>
  </si>
  <si>
    <t>탄두리 샐러드</t>
  </si>
  <si>
    <t xml:space="preserve">  🍮 디저트</t>
  </si>
  <si>
    <t>라스굴라</t>
  </si>
  <si>
    <t>🍮 디저트</t>
  </si>
  <si>
    <t>굴랍자문</t>
  </si>
  <si>
    <t>더히</t>
  </si>
  <si>
    <t xml:space="preserve">  🥤 음료</t>
  </si>
  <si>
    <t>플레인 라씨</t>
  </si>
  <si>
    <t>🥤 음료</t>
  </si>
  <si>
    <t>딸기 라씨</t>
  </si>
  <si>
    <t>바나나 라씨</t>
  </si>
  <si>
    <t>망고 라씨</t>
  </si>
  <si>
    <t>네팔찌야</t>
  </si>
  <si>
    <t>마살라 찌야</t>
  </si>
  <si>
    <t>오렌지 에이드</t>
  </si>
  <si>
    <t>청포도 에이드</t>
  </si>
  <si>
    <t>오렌지쥬스</t>
  </si>
  <si>
    <t>망고 주스</t>
  </si>
  <si>
    <t xml:space="preserve">  🍽 세트메뉴</t>
  </si>
  <si>
    <r>
      <rPr>
        <b/>
        <sz val="9"/>
        <color rgb="FF1A1A1A"/>
        <rFont val="맑은 고딕"/>
        <family val="3"/>
        <charset val="129"/>
      </rPr>
      <t>A set(2</t>
    </r>
    <r>
      <rPr>
        <b/>
        <sz val="9"/>
        <color rgb="FF1A1A1A"/>
        <rFont val="Noto Sans CJK SC"/>
        <family val="2"/>
      </rPr>
      <t>인</t>
    </r>
    <r>
      <rPr>
        <b/>
        <sz val="9"/>
        <color rgb="FF1A1A1A"/>
        <rFont val="맑은 고딕"/>
        <family val="3"/>
        <charset val="129"/>
      </rPr>
      <t>)</t>
    </r>
  </si>
  <si>
    <t>🍽 세트메뉴</t>
  </si>
  <si>
    <r>
      <rPr>
        <b/>
        <sz val="9"/>
        <color rgb="FF1A1A1A"/>
        <rFont val="맑은 고딕"/>
        <family val="3"/>
        <charset val="129"/>
      </rPr>
      <t>B set(3</t>
    </r>
    <r>
      <rPr>
        <b/>
        <sz val="9"/>
        <color rgb="FF1A1A1A"/>
        <rFont val="Noto Sans CJK SC"/>
        <family val="2"/>
      </rPr>
      <t>인</t>
    </r>
    <r>
      <rPr>
        <b/>
        <sz val="9"/>
        <color rgb="FF1A1A1A"/>
        <rFont val="맑은 고딕"/>
        <family val="3"/>
        <charset val="129"/>
      </rPr>
      <t>)</t>
    </r>
  </si>
  <si>
    <r>
      <rPr>
        <b/>
        <sz val="9"/>
        <color rgb="FF1A1A1A"/>
        <rFont val="맑은 고딕"/>
        <family val="3"/>
        <charset val="129"/>
      </rPr>
      <t>C set(3</t>
    </r>
    <r>
      <rPr>
        <b/>
        <sz val="9"/>
        <color rgb="FF1A1A1A"/>
        <rFont val="Noto Sans CJK SC"/>
        <family val="2"/>
      </rPr>
      <t>인</t>
    </r>
    <r>
      <rPr>
        <b/>
        <sz val="9"/>
        <color rgb="FF1A1A1A"/>
        <rFont val="맑은 고딕"/>
        <family val="3"/>
        <charset val="129"/>
      </rPr>
      <t>)</t>
    </r>
  </si>
  <si>
    <t xml:space="preserve">  ※ 식재료 단가 변경 → 「🥬 식재료 DB」  |  고정비용 변경 → 「💰 고정비용 DB」  |  원가율 기준: ✅≤20%  🟡20~32%  🔴&gt;32%</t>
  </si>
  <si>
    <r>
      <rPr>
        <b/>
        <sz val="14"/>
        <color rgb="FFFFFFFF"/>
        <rFont val="맑은 고딕"/>
        <family val="3"/>
        <charset val="129"/>
      </rPr>
      <t xml:space="preserve">EVEREST RESTAURANT GROUP  ·  </t>
    </r>
    <r>
      <rPr>
        <b/>
        <sz val="14"/>
        <color rgb="FFFFFFFF"/>
        <rFont val="Noto Sans CJK SC"/>
        <family val="2"/>
      </rPr>
      <t>식재료 단가 데이터베이스</t>
    </r>
  </si>
  <si>
    <t xml:space="preserve">  📌  노란색 셀(구매가격)을 수정하면 g당 단가가 자동 재계산되어 전체 카테고리 시트 및 대시보드에 즉시 반영됩니다.</t>
  </si>
  <si>
    <t>식재료명</t>
  </si>
  <si>
    <t>구매가격 (원)</t>
  </si>
  <si>
    <t>단위수량</t>
  </si>
  <si>
    <t>단위</t>
  </si>
  <si>
    <t>중량 (g)</t>
  </si>
  <si>
    <r>
      <rPr>
        <b/>
        <sz val="9"/>
        <color rgb="FFFFFFFF"/>
        <rFont val="맑은 고딕"/>
        <family val="3"/>
        <charset val="129"/>
      </rPr>
      <t>g</t>
    </r>
    <r>
      <rPr>
        <b/>
        <sz val="9"/>
        <color rgb="FFFFFFFF"/>
        <rFont val="Noto Sans CJK SC"/>
        <family val="2"/>
      </rPr>
      <t xml:space="preserve">당 단가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맑은 고딕"/>
        <family val="3"/>
        <charset val="129"/>
      </rPr>
      <t>)</t>
    </r>
  </si>
  <si>
    <t>중2등급 밀가루</t>
  </si>
  <si>
    <t>kg</t>
  </si>
  <si>
    <t>고급 밀가루</t>
  </si>
  <si>
    <t>국내산쌀</t>
  </si>
  <si>
    <t>양파</t>
  </si>
  <si>
    <t>감자</t>
  </si>
  <si>
    <t>주름감자(프렌치프라이)</t>
  </si>
  <si>
    <t>통생강</t>
  </si>
  <si>
    <t>통마늘</t>
  </si>
  <si>
    <t>고운 고추가루</t>
  </si>
  <si>
    <t>베트남(고추가루)</t>
  </si>
  <si>
    <t>베트남(건고추)</t>
  </si>
  <si>
    <t>통계피</t>
  </si>
  <si>
    <t>체리알</t>
  </si>
  <si>
    <t>완두콩</t>
  </si>
  <si>
    <t>싱싱락교</t>
  </si>
  <si>
    <t>오이피클</t>
  </si>
  <si>
    <t>냉동딸기</t>
  </si>
  <si>
    <t>크림스프</t>
  </si>
  <si>
    <t>옥수수전분</t>
  </si>
  <si>
    <t>스파게티면</t>
  </si>
  <si>
    <t>딸기잼</t>
  </si>
  <si>
    <t>토마토홀</t>
  </si>
  <si>
    <t>케찹스파우트</t>
  </si>
  <si>
    <t>키위드레싱소스</t>
  </si>
  <si>
    <t>딥/칠리/스위트 소스</t>
  </si>
  <si>
    <t>백후추가루</t>
  </si>
  <si>
    <t>흑후추가루</t>
  </si>
  <si>
    <t>탈각새우31/40</t>
  </si>
  <si>
    <t>찐새우살</t>
  </si>
  <si>
    <t>해물모듬</t>
  </si>
  <si>
    <t>간장</t>
  </si>
  <si>
    <t>꽃소금</t>
  </si>
  <si>
    <t>설탕</t>
  </si>
  <si>
    <t>미원</t>
  </si>
  <si>
    <t>환만식초</t>
  </si>
  <si>
    <t>부라보</t>
  </si>
  <si>
    <t>유미락스</t>
  </si>
  <si>
    <t>CUMIN powder</t>
  </si>
  <si>
    <t>통염소</t>
  </si>
  <si>
    <t>BESAN(SUNNY)</t>
  </si>
  <si>
    <t>CUMIN SEED WHOLE</t>
  </si>
  <si>
    <t>MEHRAN BASMATI RICE</t>
  </si>
  <si>
    <t>TURMERIC POWDER</t>
  </si>
  <si>
    <t>DAL CHANA (SUNNY)</t>
  </si>
  <si>
    <t>MASOOR DAL WASHED (SUNNY)</t>
  </si>
  <si>
    <t>ASEEL PURE GHEE</t>
  </si>
  <si>
    <t>CHAAT MASALA (MEHRAN)</t>
  </si>
  <si>
    <t>GULAB JAMUN</t>
  </si>
  <si>
    <t>BIKAJI RASGULLA</t>
  </si>
  <si>
    <t>FERDAUS CHAKKI FRESH ATTA</t>
  </si>
  <si>
    <t>KASURI METHI LEAVES (MEHRAN)</t>
  </si>
  <si>
    <t>FROZEN MIXED VEGETABLE</t>
  </si>
  <si>
    <t>FROZEN CAULI FLOWER</t>
  </si>
  <si>
    <t>BIKAJI PAPAD DIL_KUSH</t>
  </si>
  <si>
    <t>식용유</t>
  </si>
  <si>
    <t>참기름</t>
  </si>
  <si>
    <t>콜라_24개</t>
  </si>
  <si>
    <t>사이다_24개</t>
  </si>
  <si>
    <t>레몬</t>
  </si>
  <si>
    <t>닭 09호</t>
  </si>
  <si>
    <t>닭 13호</t>
  </si>
  <si>
    <t>가슴 대한</t>
  </si>
  <si>
    <t>북채</t>
  </si>
  <si>
    <t>정육(부위 닭)</t>
  </si>
  <si>
    <t>근위(똥집)</t>
  </si>
  <si>
    <t>양사태살</t>
  </si>
  <si>
    <t>열탄</t>
  </si>
  <si>
    <t>호박씨</t>
  </si>
  <si>
    <t>땅콩</t>
  </si>
  <si>
    <t>캐슈넛</t>
  </si>
  <si>
    <t>캡사이신 550g x 12</t>
  </si>
  <si>
    <t>CLASSIC (CHAKKI) ATTA 5kgx4</t>
  </si>
  <si>
    <t>CORRIANDER WHOLE(MEHRAN)</t>
  </si>
  <si>
    <t>청포도</t>
  </si>
  <si>
    <t>ACHAR GOSHT MASALA(MEHRAN)</t>
  </si>
  <si>
    <t>MURI</t>
  </si>
  <si>
    <t>DESICATTED COCONUT</t>
  </si>
  <si>
    <t>제로콜라 x 24</t>
  </si>
  <si>
    <t>데어리쿠킹크림</t>
  </si>
  <si>
    <t>달럽프라이드</t>
  </si>
  <si>
    <t>멸균우유</t>
  </si>
  <si>
    <t>양배추</t>
  </si>
  <si>
    <t>죽순편</t>
  </si>
  <si>
    <t>MIXED PICKLE</t>
  </si>
  <si>
    <t>시금치</t>
  </si>
  <si>
    <t>계란</t>
  </si>
  <si>
    <t>청피망</t>
  </si>
  <si>
    <t>고수</t>
  </si>
  <si>
    <t>무우</t>
  </si>
  <si>
    <t>오이</t>
  </si>
  <si>
    <t>토마토</t>
  </si>
  <si>
    <t>치킨마살라 파우더</t>
  </si>
  <si>
    <t>머튼마살라 파우더</t>
  </si>
  <si>
    <t>트위스트미니(배달)</t>
  </si>
  <si>
    <t>트위스트소(배달)</t>
  </si>
  <si>
    <r>
      <rPr>
        <sz val="9"/>
        <color rgb="FF1A1A1A"/>
        <rFont val="맑은 고딕"/>
        <family val="3"/>
        <charset val="129"/>
      </rPr>
      <t>HG305(</t>
    </r>
    <r>
      <rPr>
        <sz val="9"/>
        <color rgb="FF1A1A1A"/>
        <rFont val="Noto Sans CJK SC"/>
        <family val="2"/>
      </rPr>
      <t>배달</t>
    </r>
    <r>
      <rPr>
        <sz val="9"/>
        <color rgb="FF1A1A1A"/>
        <rFont val="맑은 고딕"/>
        <family val="3"/>
        <charset val="129"/>
      </rPr>
      <t>)</t>
    </r>
  </si>
  <si>
    <t>파인애플</t>
  </si>
  <si>
    <t>망고슬라이스</t>
  </si>
  <si>
    <t>카다멈</t>
  </si>
  <si>
    <t>청양고추</t>
  </si>
  <si>
    <t>티카머설라 가루</t>
  </si>
  <si>
    <t>Clove powder</t>
  </si>
  <si>
    <t>코코넛 파우더</t>
  </si>
  <si>
    <t>병아리콩</t>
  </si>
  <si>
    <t>새송이 버섯</t>
  </si>
  <si>
    <t>쪽파</t>
  </si>
  <si>
    <t>스프링롤 페스트리</t>
  </si>
  <si>
    <t>당근</t>
  </si>
  <si>
    <t>양상추</t>
  </si>
  <si>
    <t>계피가루</t>
  </si>
  <si>
    <t>시금치(냉동) spinarch</t>
  </si>
  <si>
    <t>치즈난 분말치즈</t>
  </si>
  <si>
    <r>
      <rPr>
        <b/>
        <sz val="14"/>
        <color rgb="FFFFFFFF"/>
        <rFont val="맑은 고딕"/>
        <family val="3"/>
        <charset val="129"/>
      </rPr>
      <t xml:space="preserve">EVEREST RESTAURANT GROUP  ·  </t>
    </r>
    <r>
      <rPr>
        <b/>
        <sz val="14"/>
        <color rgb="FFFFFFFF"/>
        <rFont val="Noto Sans CJK SC"/>
        <family val="2"/>
      </rPr>
      <t>고정비용 데이터베이스</t>
    </r>
  </si>
  <si>
    <t xml:space="preserve">  📌  노란색 셀(금액)을 수정하면 모든 카테고리 시트의 고정비용 배분이 자동 재계산됩니다.</t>
  </si>
  <si>
    <t xml:space="preserve">  📌  배분 방식: 메뉴별 고정비용 = 해당 메뉴 판매가 × 월 총고정비용 ÷ 월 추정 매출 (판매가 비례 배분)</t>
  </si>
  <si>
    <r>
      <rPr>
        <b/>
        <sz val="11"/>
        <color rgb="FFFFFFFF"/>
        <rFont val="맑은 고딕"/>
        <family val="3"/>
        <charset val="129"/>
      </rPr>
      <t xml:space="preserve">  📋  2025</t>
    </r>
    <r>
      <rPr>
        <b/>
        <sz val="11"/>
        <color rgb="FFFFFFFF"/>
        <rFont val="Noto Sans CJK SC"/>
        <family val="2"/>
      </rPr>
      <t>년 월간 고정비용 내역</t>
    </r>
  </si>
  <si>
    <t>비용 항목</t>
  </si>
  <si>
    <t>월간 금액 (원)</t>
  </si>
  <si>
    <t>내용 / 비고</t>
  </si>
  <si>
    <t>세금·지방세</t>
  </si>
  <si>
    <t>세금신고 + 지방세</t>
  </si>
  <si>
    <r>
      <rPr>
        <b/>
        <sz val="10"/>
        <color rgb="FF1A1A1A"/>
        <rFont val="맑은 고딕"/>
        <family val="3"/>
        <charset val="129"/>
      </rPr>
      <t>4</t>
    </r>
    <r>
      <rPr>
        <b/>
        <sz val="10"/>
        <color rgb="FF1A1A1A"/>
        <rFont val="Noto Sans CJK SC"/>
        <family val="2"/>
      </rPr>
      <t>대 보험료</t>
    </r>
  </si>
  <si>
    <t>사업장 4대 보험 (사용자 부담분)</t>
  </si>
  <si>
    <t>유틸리티</t>
  </si>
  <si>
    <t>수도·전기·가스</t>
  </si>
  <si>
    <t>배달의민족·쿠팡이츠 등</t>
  </si>
  <si>
    <t>포장 용품비</t>
  </si>
  <si>
    <t>포장재료비</t>
  </si>
  <si>
    <t>세무·장부 수수료</t>
  </si>
  <si>
    <t>세무신고 + 증빙 수수료</t>
  </si>
  <si>
    <t>기타 관리비</t>
  </si>
  <si>
    <t>잡비 기타</t>
  </si>
  <si>
    <t>통신비</t>
  </si>
  <si>
    <r>
      <rPr>
        <sz val="9"/>
        <color rgb="FF555555"/>
        <rFont val="맑은 고딕"/>
        <family val="3"/>
        <charset val="129"/>
      </rPr>
      <t xml:space="preserve">KT </t>
    </r>
    <r>
      <rPr>
        <sz val="9"/>
        <color rgb="FF555555"/>
        <rFont val="Noto Sans CJK SC"/>
        <family val="2"/>
      </rPr>
      <t>등 통신</t>
    </r>
  </si>
  <si>
    <t>식재료 공급 계약비</t>
  </si>
  <si>
    <t>식재료 공급업체 계약 비용</t>
  </si>
  <si>
    <t>합 계</t>
  </si>
  <si>
    <t xml:space="preserve">  ⚙️  배분 기준 설정 (전체 카테고리 시트 연동)</t>
  </si>
  <si>
    <t>월 추정 매출 (원)</t>
  </si>
  <si>
    <t>배달 포함 월 총매출 추정 — 🟡 노란 셀 수정 가능</t>
  </si>
  <si>
    <t>총 고정비용 비율</t>
  </si>
  <si>
    <t>메뉴당 배분 산식</t>
  </si>
  <si>
    <t>판매가 × D22 ÷ D25 (카테고리 시트에서 자동 산출)</t>
  </si>
  <si>
    <t>각 메뉴 시트에서 판매가 × 총고정비 ÷ 월매출로 자동 산출됨</t>
  </si>
  <si>
    <r>
      <rPr>
        <b/>
        <sz val="13"/>
        <color rgb="FFFFFFFF"/>
        <rFont val="맑은 고딕"/>
        <family val="3"/>
        <charset val="129"/>
      </rPr>
      <t xml:space="preserve">EVEREST RESTAURANT GROUP  ·  🍗 </t>
    </r>
    <r>
      <rPr>
        <b/>
        <sz val="13"/>
        <color rgb="FFFFFFFF"/>
        <rFont val="Noto Sans CJK SC"/>
        <family val="2"/>
      </rPr>
      <t>닭고기 커리  원가 계산표</t>
    </r>
  </si>
  <si>
    <t xml:space="preserve">  📌  녹색=자동계산  노란색=입력값 | 식재료 DB/고정비용 DB 수정 시 자동 갱신됩니다.</t>
  </si>
  <si>
    <t xml:space="preserve">  📌  ▣ 색상 헤더 행: E=판매가  F=식재료원가  G=고정비용배분  H=총원가  I=총원가율  J=판정</t>
  </si>
  <si>
    <t>구분</t>
  </si>
  <si>
    <t>사용량(g)</t>
  </si>
  <si>
    <t>수율(%)</t>
  </si>
  <si>
    <r>
      <rPr>
        <b/>
        <sz val="9"/>
        <color rgb="FFFFFFFF"/>
        <rFont val="맑은 고딕"/>
        <family val="3"/>
        <charset val="129"/>
      </rPr>
      <t>g</t>
    </r>
    <r>
      <rPr>
        <b/>
        <sz val="9"/>
        <color rgb="FFFFFFFF"/>
        <rFont val="Noto Sans CJK SC"/>
        <family val="2"/>
      </rPr>
      <t>당 단가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맑은 고딕"/>
        <family val="3"/>
        <charset val="129"/>
      </rPr>
      <t>)</t>
    </r>
  </si>
  <si>
    <t>재료 원가(원)</t>
  </si>
  <si>
    <t>비고</t>
  </si>
  <si>
    <t xml:space="preserve">  🍽  치킨머커니</t>
  </si>
  <si>
    <t xml:space="preserve">  ▸ 메인 식재료</t>
  </si>
  <si>
    <t>메인</t>
  </si>
  <si>
    <t xml:space="preserve">  ▸ 프렙 재료 (반제품)</t>
  </si>
  <si>
    <t>커리 그레이비 소스</t>
  </si>
  <si>
    <t>프렙</t>
  </si>
  <si>
    <t>치즈</t>
  </si>
  <si>
    <t xml:space="preserve">  🍽  치킨 커리</t>
  </si>
  <si>
    <t xml:space="preserve">  🍽  치킨 마살라</t>
  </si>
  <si>
    <t xml:space="preserve">  🍽  커다이 치킨</t>
  </si>
  <si>
    <t>닭가슴살 (정육)</t>
  </si>
  <si>
    <t>베트남 건고추</t>
  </si>
  <si>
    <t>CORRIANDER WHOLE</t>
  </si>
  <si>
    <t>베트남 고추가루</t>
  </si>
  <si>
    <t xml:space="preserve">  🍽  치킨 티카 마살라</t>
  </si>
  <si>
    <t xml:space="preserve">  🍽  스페셜 커리치킨</t>
  </si>
  <si>
    <t xml:space="preserve">  🍽  베이비 커리</t>
  </si>
  <si>
    <t>베이비커리</t>
  </si>
  <si>
    <t xml:space="preserve">  🍽  진저 치킨</t>
  </si>
  <si>
    <t>마늘생강 페이스트</t>
  </si>
  <si>
    <t xml:space="preserve">  🍽  치킨 빈달루</t>
  </si>
  <si>
    <t xml:space="preserve">  🍽  치킨 코르마</t>
  </si>
  <si>
    <t>요거트</t>
  </si>
  <si>
    <t xml:space="preserve">  🍽  커다이치킨</t>
  </si>
  <si>
    <t xml:space="preserve">  🍽  버터 치킨</t>
  </si>
  <si>
    <t xml:space="preserve">  🍽  치킨 칠리</t>
  </si>
  <si>
    <t>닭 (부위 정육)</t>
  </si>
  <si>
    <t xml:space="preserve">  🍽  스페셜치킨커리</t>
  </si>
  <si>
    <r>
      <rPr>
        <b/>
        <sz val="13"/>
        <color rgb="FFFFFFFF"/>
        <rFont val="맑은 고딕"/>
        <family val="3"/>
        <charset val="129"/>
      </rPr>
      <t xml:space="preserve">EVEREST RESTAURANT GROUP  ·  🐑 </t>
    </r>
    <r>
      <rPr>
        <b/>
        <sz val="13"/>
        <color rgb="FFFFFFFF"/>
        <rFont val="Noto Sans CJK SC"/>
        <family val="2"/>
      </rPr>
      <t>양고기 커리  원가 계산표</t>
    </r>
  </si>
  <si>
    <t xml:space="preserve">  🍽  머턴 커리</t>
  </si>
  <si>
    <t xml:space="preserve">  🍽  머턴 마살라</t>
  </si>
  <si>
    <t xml:space="preserve">  🍽  머턴 도 피아자</t>
  </si>
  <si>
    <t xml:space="preserve">  🍽  머턴 코르마</t>
  </si>
  <si>
    <t xml:space="preserve">  🍽  머턴 빈달루</t>
  </si>
  <si>
    <t xml:space="preserve">  🍽  머턴 아차르</t>
  </si>
  <si>
    <t>CHAAT MASALA</t>
  </si>
  <si>
    <t xml:space="preserve">  🍽  머턴 사그</t>
  </si>
  <si>
    <r>
      <rPr>
        <b/>
        <sz val="13"/>
        <color rgb="FFFFFFFF"/>
        <rFont val="맑은 고딕"/>
        <family val="3"/>
        <charset val="129"/>
      </rPr>
      <t xml:space="preserve">EVEREST RESTAURANT GROUP  ·  🥚 </t>
    </r>
    <r>
      <rPr>
        <b/>
        <sz val="13"/>
        <color rgb="FFFFFFFF"/>
        <rFont val="Noto Sans CJK SC"/>
        <family val="2"/>
      </rPr>
      <t>에그</t>
    </r>
    <r>
      <rPr>
        <b/>
        <sz val="13"/>
        <color rgb="FFFFFFFF"/>
        <rFont val="맑은 고딕"/>
        <family val="3"/>
        <charset val="129"/>
      </rPr>
      <t>·</t>
    </r>
    <r>
      <rPr>
        <b/>
        <sz val="13"/>
        <color rgb="FFFFFFFF"/>
        <rFont val="Noto Sans CJK SC"/>
        <family val="2"/>
      </rPr>
      <t>해산물 커리  원가 계산표</t>
    </r>
  </si>
  <si>
    <t xml:space="preserve">  🍽  에그 커리</t>
  </si>
  <si>
    <t xml:space="preserve">  🍽  프라운커리</t>
  </si>
  <si>
    <t>기</t>
  </si>
  <si>
    <t xml:space="preserve">  🍽  프라운 칠리 커리</t>
  </si>
  <si>
    <t xml:space="preserve">  🍽  해산물 빈달루</t>
  </si>
  <si>
    <r>
      <rPr>
        <b/>
        <sz val="13"/>
        <color rgb="FFFFFFFF"/>
        <rFont val="맑은 고딕"/>
        <family val="3"/>
        <charset val="129"/>
      </rPr>
      <t xml:space="preserve">EVEREST RESTAURANT GROUP  ·  🥦 </t>
    </r>
    <r>
      <rPr>
        <b/>
        <sz val="13"/>
        <color rgb="FFFFFFFF"/>
        <rFont val="Noto Sans CJK SC"/>
        <family val="2"/>
      </rPr>
      <t>야채</t>
    </r>
    <r>
      <rPr>
        <b/>
        <sz val="13"/>
        <color rgb="FFFFFFFF"/>
        <rFont val="맑은 고딕"/>
        <family val="3"/>
        <charset val="129"/>
      </rPr>
      <t>·</t>
    </r>
    <r>
      <rPr>
        <b/>
        <sz val="13"/>
        <color rgb="FFFFFFFF"/>
        <rFont val="Noto Sans CJK SC"/>
        <family val="2"/>
      </rPr>
      <t>달 커리  원가 계산표</t>
    </r>
  </si>
  <si>
    <t xml:space="preserve">  🍽  머라이 코프타</t>
  </si>
  <si>
    <t xml:space="preserve">  🍽  퍼니르 버터 마살라</t>
  </si>
  <si>
    <t xml:space="preserve">  🍽  펄럭 퍼니르</t>
  </si>
  <si>
    <t>펄럭(시금치) 소스</t>
  </si>
  <si>
    <t xml:space="preserve">  🍽  알루 펄럭</t>
  </si>
  <si>
    <t xml:space="preserve">  🍽  알루 고비</t>
  </si>
  <si>
    <t>냉동 콜리플라워</t>
  </si>
  <si>
    <t>강황가루</t>
  </si>
  <si>
    <t xml:space="preserve">  🍽  쩌나 마살라</t>
  </si>
  <si>
    <t>병아리콩 (삶은 것)</t>
  </si>
  <si>
    <t xml:space="preserve">  🍽  모듬 야채 커리</t>
  </si>
  <si>
    <t>냉동 믹스 야채</t>
  </si>
  <si>
    <t xml:space="preserve">  🍽  머쉬룸 커리</t>
  </si>
  <si>
    <t xml:space="preserve">  🍽  달 머커니</t>
  </si>
  <si>
    <r>
      <rPr>
        <b/>
        <sz val="9"/>
        <color rgb="FF1A1A1A"/>
        <rFont val="맑은 고딕"/>
        <family val="3"/>
        <charset val="129"/>
      </rPr>
      <t>ASEEL PURE GHEE (</t>
    </r>
    <r>
      <rPr>
        <b/>
        <sz val="9"/>
        <color rgb="FF1A1A1A"/>
        <rFont val="Noto Sans CJK SC"/>
        <family val="2"/>
      </rPr>
      <t>버터</t>
    </r>
    <r>
      <rPr>
        <b/>
        <sz val="9"/>
        <color rgb="FF1A1A1A"/>
        <rFont val="맑은 고딕"/>
        <family val="3"/>
        <charset val="129"/>
      </rPr>
      <t>)</t>
    </r>
  </si>
  <si>
    <t>달머커니 소스</t>
  </si>
  <si>
    <t xml:space="preserve">  🍽  달 터드카</t>
  </si>
  <si>
    <t>커민씨드</t>
  </si>
  <si>
    <t xml:space="preserve">  🍽  커다이 퍼니르</t>
  </si>
  <si>
    <t>퍼니르 (치즈)</t>
  </si>
  <si>
    <t xml:space="preserve">  🍽  마타 퍼니르</t>
  </si>
  <si>
    <t xml:space="preserve">  🍽  야채 나바라탄 코르마</t>
  </si>
  <si>
    <r>
      <rPr>
        <b/>
        <sz val="13"/>
        <color rgb="FFFFFFFF"/>
        <rFont val="맑은 고딕"/>
        <family val="3"/>
        <charset val="129"/>
      </rPr>
      <t xml:space="preserve">EVEREST RESTAURANT GROUP  ·  🔥 </t>
    </r>
    <r>
      <rPr>
        <b/>
        <sz val="13"/>
        <color rgb="FFFFFFFF"/>
        <rFont val="Noto Sans CJK SC"/>
        <family val="2"/>
      </rPr>
      <t>탄두리</t>
    </r>
    <r>
      <rPr>
        <b/>
        <sz val="13"/>
        <color rgb="FFFFFFFF"/>
        <rFont val="맑은 고딕"/>
        <family val="3"/>
        <charset val="129"/>
      </rPr>
      <t>·</t>
    </r>
    <r>
      <rPr>
        <b/>
        <sz val="13"/>
        <color rgb="FFFFFFFF"/>
        <rFont val="Noto Sans CJK SC"/>
        <family val="2"/>
      </rPr>
      <t>케밥  원가 계산표</t>
    </r>
  </si>
  <si>
    <t xml:space="preserve">  🍽  치킨 멀라이 케밥</t>
  </si>
  <si>
    <t>탄두리 샐라드</t>
  </si>
  <si>
    <t xml:space="preserve">  🍽  치킨 티카</t>
  </si>
  <si>
    <t>치킨 마살라 파우더</t>
  </si>
  <si>
    <t>탄두리 소스</t>
  </si>
  <si>
    <t xml:space="preserve">  🍽  치킨 탕그리 케밥</t>
  </si>
  <si>
    <t>닭 (닭다리)</t>
  </si>
  <si>
    <t xml:space="preserve">  🍽  머턴 세꾸와</t>
  </si>
  <si>
    <t>머튼 마살라 파우더</t>
  </si>
  <si>
    <r>
      <rPr>
        <b/>
        <sz val="9"/>
        <color rgb="FF1A1A1A"/>
        <rFont val="맑은 고딕"/>
        <family val="3"/>
        <charset val="129"/>
      </rPr>
      <t>MURI (</t>
    </r>
    <r>
      <rPr>
        <b/>
        <sz val="9"/>
        <color rgb="FF1A1A1A"/>
        <rFont val="Noto Sans CJK SC"/>
        <family val="2"/>
      </rPr>
      <t>쌀튀밥</t>
    </r>
    <r>
      <rPr>
        <b/>
        <sz val="9"/>
        <color rgb="FF1A1A1A"/>
        <rFont val="맑은 고딕"/>
        <family val="3"/>
        <charset val="129"/>
      </rPr>
      <t>)</t>
    </r>
  </si>
  <si>
    <t xml:space="preserve">  🍽  믹스 탄두리 플래터</t>
  </si>
  <si>
    <t>닭 (09호)</t>
  </si>
  <si>
    <t>탈각새우 31/40</t>
  </si>
  <si>
    <t xml:space="preserve">  🍽  탄두리 치킨(반마리)</t>
  </si>
  <si>
    <t xml:space="preserve">  🍽  탄두리 치킨(한마리)</t>
  </si>
  <si>
    <t xml:space="preserve">  🍽  치킨시크케밥</t>
  </si>
  <si>
    <t xml:space="preserve">  🍽  탄두리치킨(한마리</t>
  </si>
  <si>
    <r>
      <rPr>
        <b/>
        <sz val="13"/>
        <color rgb="FFFFFFFF"/>
        <rFont val="맑은 고딕"/>
        <family val="3"/>
        <charset val="129"/>
      </rPr>
      <t xml:space="preserve">EVEREST RESTAURANT GROUP  ·  🥟 </t>
    </r>
    <r>
      <rPr>
        <b/>
        <sz val="13"/>
        <color rgb="FFFFFFFF"/>
        <rFont val="Noto Sans CJK SC"/>
        <family val="2"/>
      </rPr>
      <t>스낵</t>
    </r>
    <r>
      <rPr>
        <b/>
        <sz val="13"/>
        <color rgb="FFFFFFFF"/>
        <rFont val="맑은 고딕"/>
        <family val="3"/>
        <charset val="129"/>
      </rPr>
      <t>·</t>
    </r>
    <r>
      <rPr>
        <b/>
        <sz val="13"/>
        <color rgb="FFFFFFFF"/>
        <rFont val="Noto Sans CJK SC"/>
        <family val="2"/>
      </rPr>
      <t>면</t>
    </r>
    <r>
      <rPr>
        <b/>
        <sz val="13"/>
        <color rgb="FFFFFFFF"/>
        <rFont val="맑은 고딕"/>
        <family val="3"/>
        <charset val="129"/>
      </rPr>
      <t>·</t>
    </r>
    <r>
      <rPr>
        <b/>
        <sz val="13"/>
        <color rgb="FFFFFFFF"/>
        <rFont val="Noto Sans CJK SC"/>
        <family val="2"/>
      </rPr>
      <t>만두  원가 계산표</t>
    </r>
  </si>
  <si>
    <t xml:space="preserve">  🍽  모모</t>
  </si>
  <si>
    <t>정육 (닭)</t>
  </si>
  <si>
    <t>고수잎</t>
  </si>
  <si>
    <t>치킨/머턴 마살라 파우더</t>
  </si>
  <si>
    <t xml:space="preserve">  🍽  졸 모모</t>
  </si>
  <si>
    <t xml:space="preserve">  🍽  자오미엔</t>
  </si>
  <si>
    <t>스파게티 면 (삶은 것)</t>
  </si>
  <si>
    <t xml:space="preserve">  🍽  베지 자오미엔</t>
  </si>
  <si>
    <t xml:space="preserve">  🍽  사모사</t>
  </si>
  <si>
    <t xml:space="preserve">  🍽  스프링롤</t>
  </si>
  <si>
    <t>스프링롤 페이스트리</t>
  </si>
  <si>
    <t xml:space="preserve">  🍽  프렌치 프라이</t>
  </si>
  <si>
    <t>주름감자 (프렌치프라이용)</t>
  </si>
  <si>
    <t>케찹 스파우트</t>
  </si>
  <si>
    <t xml:space="preserve">  🍽  퍼니르 퍼코다</t>
  </si>
  <si>
    <r>
      <rPr>
        <b/>
        <sz val="9"/>
        <color rgb="FF1A1A1A"/>
        <rFont val="맑은 고딕"/>
        <family val="3"/>
        <charset val="129"/>
      </rPr>
      <t>BESAN (</t>
    </r>
    <r>
      <rPr>
        <b/>
        <sz val="9"/>
        <color rgb="FF1A1A1A"/>
        <rFont val="Noto Sans CJK SC"/>
        <family val="2"/>
      </rPr>
      <t>병아리콩 가루</t>
    </r>
    <r>
      <rPr>
        <b/>
        <sz val="9"/>
        <color rgb="FF1A1A1A"/>
        <rFont val="맑은 고딕"/>
        <family val="3"/>
        <charset val="129"/>
      </rPr>
      <t>)</t>
    </r>
  </si>
  <si>
    <t xml:space="preserve">  🍽  알루덤</t>
  </si>
  <si>
    <t xml:space="preserve">  🍽  뚝파</t>
  </si>
  <si>
    <t xml:space="preserve">  🍽  드라이 파펃</t>
  </si>
  <si>
    <t xml:space="preserve">  🍽  마살라 파펃</t>
  </si>
  <si>
    <t xml:space="preserve">  🍽  퍼코다</t>
  </si>
  <si>
    <r>
      <rPr>
        <b/>
        <sz val="13"/>
        <color rgb="FFFFFFFF"/>
        <rFont val="맑은 고딕"/>
        <family val="3"/>
        <charset val="129"/>
      </rPr>
      <t xml:space="preserve">EVEREST RESTAURANT GROUP  ·  🫓 </t>
    </r>
    <r>
      <rPr>
        <b/>
        <sz val="13"/>
        <color rgb="FFFFFFFF"/>
        <rFont val="Noto Sans CJK SC"/>
        <family val="2"/>
      </rPr>
      <t>빵류  원가 계산표</t>
    </r>
  </si>
  <si>
    <t xml:space="preserve">  🍽  허니난</t>
  </si>
  <si>
    <t>허니</t>
  </si>
  <si>
    <t xml:space="preserve">  🍽  치즈난</t>
  </si>
  <si>
    <t xml:space="preserve">  🍽  플레인난</t>
  </si>
  <si>
    <t>베이킹 파우더</t>
  </si>
  <si>
    <t xml:space="preserve">  🍽  갈릭 난</t>
  </si>
  <si>
    <t xml:space="preserve">  🍽  버터 난</t>
  </si>
  <si>
    <t xml:space="preserve">  🍽  알루 파라타</t>
  </si>
  <si>
    <t xml:space="preserve">  🍽  굴자빵</t>
  </si>
  <si>
    <r>
      <rPr>
        <b/>
        <sz val="13"/>
        <color rgb="FFFFFFFF"/>
        <rFont val="맑은 고딕"/>
        <family val="3"/>
        <charset val="129"/>
      </rPr>
      <t xml:space="preserve">EVEREST RESTAURANT GROUP  ·  🍚 </t>
    </r>
    <r>
      <rPr>
        <b/>
        <sz val="13"/>
        <color rgb="FFFFFFFF"/>
        <rFont val="Noto Sans CJK SC"/>
        <family val="2"/>
      </rPr>
      <t>밥</t>
    </r>
    <r>
      <rPr>
        <b/>
        <sz val="13"/>
        <color rgb="FFFFFFFF"/>
        <rFont val="맑은 고딕"/>
        <family val="3"/>
        <charset val="129"/>
      </rPr>
      <t>·</t>
    </r>
    <r>
      <rPr>
        <b/>
        <sz val="13"/>
        <color rgb="FFFFFFFF"/>
        <rFont val="Noto Sans CJK SC"/>
        <family val="2"/>
      </rPr>
      <t>스프</t>
    </r>
    <r>
      <rPr>
        <b/>
        <sz val="13"/>
        <color rgb="FFFFFFFF"/>
        <rFont val="맑은 고딕"/>
        <family val="3"/>
        <charset val="129"/>
      </rPr>
      <t>·</t>
    </r>
    <r>
      <rPr>
        <b/>
        <sz val="13"/>
        <color rgb="FFFFFFFF"/>
        <rFont val="Noto Sans CJK SC"/>
        <family val="2"/>
      </rPr>
      <t>샐러드  원가 계산표</t>
    </r>
  </si>
  <si>
    <t xml:space="preserve">  🍽  치킨 스프</t>
  </si>
  <si>
    <t>크림스프 파우더</t>
  </si>
  <si>
    <t>물 또는 닭 육수</t>
  </si>
  <si>
    <t xml:space="preserve">  🍽  머쉬룸 스프</t>
  </si>
  <si>
    <t>물 또는 채소 육수</t>
  </si>
  <si>
    <t xml:space="preserve">  🍽  핫&amp;사워 스프</t>
  </si>
  <si>
    <t>닭 육수 또는 물</t>
  </si>
  <si>
    <t xml:space="preserve">  🍽  탄두리 티카 샐러드</t>
  </si>
  <si>
    <t>망고 슬라이스</t>
  </si>
  <si>
    <t xml:space="preserve">  🍽  그린 샐러드</t>
  </si>
  <si>
    <t xml:space="preserve">  🍽  탄두리 샐러드</t>
  </si>
  <si>
    <r>
      <rPr>
        <b/>
        <sz val="13"/>
        <color rgb="FFFFFFFF"/>
        <rFont val="맑은 고딕"/>
        <family val="3"/>
        <charset val="129"/>
      </rPr>
      <t xml:space="preserve">EVEREST RESTAURANT GROUP  ·  🍮 </t>
    </r>
    <r>
      <rPr>
        <b/>
        <sz val="13"/>
        <color rgb="FFFFFFFF"/>
        <rFont val="Noto Sans CJK SC"/>
        <family val="2"/>
      </rPr>
      <t>디저트  원가 계산표</t>
    </r>
  </si>
  <si>
    <t xml:space="preserve">  🍽  라스굴라</t>
  </si>
  <si>
    <t>요거트 소스</t>
  </si>
  <si>
    <t xml:space="preserve">  🍽  굴랍자문</t>
  </si>
  <si>
    <t xml:space="preserve">  🍽  더히</t>
  </si>
  <si>
    <r>
      <rPr>
        <b/>
        <sz val="13"/>
        <color rgb="FFFFFFFF"/>
        <rFont val="맑은 고딕"/>
        <family val="3"/>
        <charset val="129"/>
      </rPr>
      <t xml:space="preserve">EVEREST RESTAURANT GROUP  ·  🥤 </t>
    </r>
    <r>
      <rPr>
        <b/>
        <sz val="13"/>
        <color rgb="FFFFFFFF"/>
        <rFont val="Noto Sans CJK SC"/>
        <family val="2"/>
      </rPr>
      <t>음료  원가 계산표</t>
    </r>
  </si>
  <si>
    <t xml:space="preserve">  🍽  플레인 라씨</t>
  </si>
  <si>
    <t>물 또는 우유</t>
  </si>
  <si>
    <t xml:space="preserve">  🍽  딸기 라씨</t>
  </si>
  <si>
    <t>냉동 딸기</t>
  </si>
  <si>
    <t>물</t>
  </si>
  <si>
    <t xml:space="preserve">  🍽  바나나 라씨</t>
  </si>
  <si>
    <t xml:space="preserve">  🍽  망고 라씨</t>
  </si>
  <si>
    <t xml:space="preserve">  🍽  네팔찌야</t>
  </si>
  <si>
    <r>
      <rPr>
        <b/>
        <sz val="9"/>
        <color rgb="FF1A1A1A"/>
        <rFont val="맑은 고딕"/>
        <family val="3"/>
        <charset val="129"/>
      </rPr>
      <t>LIPTON TEA(</t>
    </r>
    <r>
      <rPr>
        <b/>
        <sz val="9"/>
        <color rgb="FF1A1A1A"/>
        <rFont val="Noto Sans CJK SC"/>
        <family val="2"/>
      </rPr>
      <t>찌야</t>
    </r>
    <r>
      <rPr>
        <b/>
        <sz val="9"/>
        <color rgb="FF1A1A1A"/>
        <rFont val="맑은 고딕"/>
        <family val="3"/>
        <charset val="129"/>
      </rPr>
      <t>)</t>
    </r>
  </si>
  <si>
    <t xml:space="preserve">  🍽  마살라 찌야</t>
  </si>
  <si>
    <t xml:space="preserve">  🍽  오렌지 에이드</t>
  </si>
  <si>
    <t xml:space="preserve">  🍽  청포도 에이드</t>
  </si>
  <si>
    <t xml:space="preserve">  🍽  오렌지쥬스</t>
  </si>
  <si>
    <t xml:space="preserve">  🍽  망고 주스</t>
  </si>
  <si>
    <r>
      <rPr>
        <b/>
        <sz val="13"/>
        <color rgb="FFFFFFFF"/>
        <rFont val="맑은 고딕"/>
        <family val="3"/>
        <charset val="129"/>
      </rPr>
      <t xml:space="preserve">EVEREST RESTAURANT GROUP  ·  🍽 </t>
    </r>
    <r>
      <rPr>
        <b/>
        <sz val="13"/>
        <color rgb="FFFFFFFF"/>
        <rFont val="Noto Sans CJK SC"/>
        <family val="2"/>
      </rPr>
      <t>세트메뉴  원가 계산표</t>
    </r>
  </si>
  <si>
    <r>
      <rPr>
        <b/>
        <sz val="11"/>
        <color rgb="FF1C3557"/>
        <rFont val="맑은 고딕"/>
        <family val="3"/>
        <charset val="129"/>
      </rPr>
      <t xml:space="preserve">  🍽  A set(2</t>
    </r>
    <r>
      <rPr>
        <b/>
        <sz val="11"/>
        <color rgb="FF1C3557"/>
        <rFont val="Noto Sans CJK SC"/>
        <family val="2"/>
      </rPr>
      <t>인</t>
    </r>
    <r>
      <rPr>
        <b/>
        <sz val="11"/>
        <color rgb="FF1C3557"/>
        <rFont val="맑은 고딕"/>
        <family val="3"/>
        <charset val="129"/>
      </rPr>
      <t>)</t>
    </r>
  </si>
  <si>
    <t>플레인 난</t>
  </si>
  <si>
    <t>밥 (바스마티 라이스)</t>
  </si>
  <si>
    <t>치킨 커리 또는 베지 커리</t>
  </si>
  <si>
    <t>머턴 커리 또는 달 머커니</t>
  </si>
  <si>
    <t>더히 (요거트)</t>
  </si>
  <si>
    <r>
      <rPr>
        <b/>
        <sz val="11"/>
        <color rgb="FF1C3557"/>
        <rFont val="맑은 고딕"/>
        <family val="3"/>
        <charset val="129"/>
      </rPr>
      <t xml:space="preserve">  🍽  B set(3</t>
    </r>
    <r>
      <rPr>
        <b/>
        <sz val="11"/>
        <color rgb="FF1C3557"/>
        <rFont val="Noto Sans CJK SC"/>
        <family val="2"/>
      </rPr>
      <t>인</t>
    </r>
    <r>
      <rPr>
        <b/>
        <sz val="11"/>
        <color rgb="FF1C3557"/>
        <rFont val="맑은 고딕"/>
        <family val="3"/>
        <charset val="129"/>
      </rPr>
      <t>)</t>
    </r>
  </si>
  <si>
    <t>스타터 (사모사 또는 모모)</t>
  </si>
  <si>
    <t>밥</t>
  </si>
  <si>
    <t>메인 커리 (치킨/머턴/베지)</t>
  </si>
  <si>
    <t>샐러드</t>
  </si>
  <si>
    <r>
      <rPr>
        <b/>
        <sz val="11"/>
        <color rgb="FF1C3557"/>
        <rFont val="맑은 고딕"/>
        <family val="3"/>
        <charset val="129"/>
      </rPr>
      <t xml:space="preserve">  🍽  C set(3</t>
    </r>
    <r>
      <rPr>
        <b/>
        <sz val="11"/>
        <color rgb="FF1C3557"/>
        <rFont val="Noto Sans CJK SC"/>
        <family val="2"/>
      </rPr>
      <t>인</t>
    </r>
    <r>
      <rPr>
        <b/>
        <sz val="11"/>
        <color rgb="FF1C3557"/>
        <rFont val="맑은 고딕"/>
        <family val="3"/>
        <charset val="129"/>
      </rPr>
      <t>)</t>
    </r>
  </si>
  <si>
    <t>플레인 난 또는 버터 난</t>
  </si>
  <si>
    <t>디저트 (굴랍자문 또는 라스굴라)</t>
  </si>
  <si>
    <t>탄두리 요리 (티카 또는 케밥)</t>
  </si>
  <si>
    <r>
      <rPr>
        <b/>
        <sz val="13"/>
        <color rgb="FFFFFFFF"/>
        <rFont val="맑은 고딕"/>
        <family val="3"/>
        <charset val="129"/>
      </rPr>
      <t xml:space="preserve">EVEREST RESTAURANT GROUP  ·  </t>
    </r>
    <r>
      <rPr>
        <b/>
        <sz val="13"/>
        <color rgb="FFFFFFFF"/>
        <rFont val="Noto Sans CJK SC"/>
        <family val="2"/>
      </rPr>
      <t>프렙</t>
    </r>
    <r>
      <rPr>
        <b/>
        <sz val="13"/>
        <color rgb="FFFFFFFF"/>
        <rFont val="맑은 고딕"/>
        <family val="3"/>
        <charset val="129"/>
      </rPr>
      <t>(</t>
    </r>
    <r>
      <rPr>
        <b/>
        <sz val="13"/>
        <color rgb="FFFFFFFF"/>
        <rFont val="Noto Sans CJK SC"/>
        <family val="2"/>
      </rPr>
      <t>반제품</t>
    </r>
    <r>
      <rPr>
        <b/>
        <sz val="13"/>
        <color rgb="FFFFFFFF"/>
        <rFont val="맑은 고딕"/>
        <family val="3"/>
        <charset val="129"/>
      </rPr>
      <t xml:space="preserve">) </t>
    </r>
    <r>
      <rPr>
        <b/>
        <sz val="13"/>
        <color rgb="FFFFFFFF"/>
        <rFont val="Noto Sans CJK SC"/>
        <family val="2"/>
      </rPr>
      <t>원가 계산표</t>
    </r>
  </si>
  <si>
    <t xml:space="preserve">  📌  프렙 완성품의 g당 원가를 관리합니다. 투입량(노란 셀) 수정 → 총원가·g당단가 자동 재계산 → 전 카테고리 시트 자동 반영.</t>
  </si>
  <si>
    <t>프렙 제품명</t>
  </si>
  <si>
    <r>
      <rPr>
        <b/>
        <sz val="9"/>
        <color rgb="FFFFFFFF"/>
        <rFont val="맑은 고딕"/>
        <family val="3"/>
        <charset val="129"/>
      </rPr>
      <t>g</t>
    </r>
    <r>
      <rPr>
        <b/>
        <sz val="9"/>
        <color rgb="FFFFFFFF"/>
        <rFont val="Noto Sans CJK SC"/>
        <family val="2"/>
      </rPr>
      <t>당 원가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맑은 고딕"/>
        <family val="3"/>
        <charset val="129"/>
      </rPr>
      <t>)</t>
    </r>
  </si>
  <si>
    <t>조리 후 중량(g)</t>
  </si>
  <si>
    <t>총 원가(원)</t>
  </si>
  <si>
    <t>고수 소스</t>
  </si>
  <si>
    <t>라씨</t>
  </si>
  <si>
    <t xml:space="preserve">  ▶  프렙 제품별 식재료 원가 상세</t>
  </si>
  <si>
    <t xml:space="preserve">  🧪  커리 그레이비 소스</t>
  </si>
  <si>
    <t>조리 후 중량: 59,904g   수율: 78%</t>
  </si>
  <si>
    <t>투입량(g)</t>
  </si>
  <si>
    <r>
      <rPr>
        <b/>
        <sz val="8"/>
        <color rgb="FFFFFFFF"/>
        <rFont val="맑은 고딕"/>
        <family val="3"/>
        <charset val="129"/>
      </rPr>
      <t>g</t>
    </r>
    <r>
      <rPr>
        <b/>
        <sz val="8"/>
        <color rgb="FFFFFFFF"/>
        <rFont val="Noto Sans CJK SC"/>
        <family val="2"/>
      </rPr>
      <t>당 단가</t>
    </r>
    <r>
      <rPr>
        <b/>
        <sz val="8"/>
        <color rgb="FFFFFFFF"/>
        <rFont val="맑은 고딕"/>
        <family val="3"/>
        <charset val="129"/>
      </rPr>
      <t>(</t>
    </r>
    <r>
      <rPr>
        <b/>
        <sz val="8"/>
        <color rgb="FFFFFFFF"/>
        <rFont val="Noto Sans CJK SC"/>
        <family val="2"/>
      </rPr>
      <t>원</t>
    </r>
    <r>
      <rPr>
        <b/>
        <sz val="8"/>
        <color rgb="FFFFFFFF"/>
        <rFont val="맑은 고딕"/>
        <family val="3"/>
        <charset val="129"/>
      </rPr>
      <t>)</t>
    </r>
  </si>
  <si>
    <t>커다몸</t>
  </si>
  <si>
    <t>고추가루</t>
  </si>
  <si>
    <t>토마토퓨레</t>
  </si>
  <si>
    <t xml:space="preserve">  🧪  탄두리 소스</t>
  </si>
  <si>
    <t>조리 후 중량: 2,000g   수율: 100%</t>
  </si>
  <si>
    <t>CUMIN seed powder</t>
  </si>
  <si>
    <t>식용류</t>
  </si>
  <si>
    <t xml:space="preserve">  🧪  펄럭(시금치) 소스</t>
  </si>
  <si>
    <t>조리 후 중량: 1,048g   수율: 80%</t>
  </si>
  <si>
    <t xml:space="preserve">  🧪  고수 소스</t>
  </si>
  <si>
    <t>조리 후 중량: 549g   수율: 60%</t>
  </si>
  <si>
    <t xml:space="preserve">  🧪  치즈</t>
  </si>
  <si>
    <t>조리 후 중량: 4,950g   수율: 15%</t>
  </si>
  <si>
    <t>멀균우유</t>
  </si>
  <si>
    <t xml:space="preserve">  🧪  베이비커리</t>
  </si>
  <si>
    <t>조리 후 중량: 1,402g   수율: 85%</t>
  </si>
  <si>
    <t xml:space="preserve">  🧪  요거트</t>
  </si>
  <si>
    <t>조리 후 중량: 1,200g   수율: 100%</t>
  </si>
  <si>
    <t xml:space="preserve">  🧪  라씨</t>
  </si>
  <si>
    <t xml:space="preserve">  🧪  달머커니 소스</t>
  </si>
  <si>
    <t>조리 후 중량: 1,520g   수율: 95%</t>
  </si>
  <si>
    <t xml:space="preserve">  🧪  마늘생강 페이스트</t>
  </si>
  <si>
    <t>조리 후 중량: 900g   수율: 90%</t>
  </si>
  <si>
    <t xml:space="preserve">  🧪  탄두리 샐러드</t>
  </si>
  <si>
    <t>조리 후 중량: 23g   수율: 60%</t>
  </si>
  <si>
    <t>급여</t>
    <phoneticPr fontId="62" type="noConversion"/>
  </si>
  <si>
    <t>부가가치세</t>
    <phoneticPr fontId="62" type="noConversion"/>
  </si>
  <si>
    <t>임금</t>
    <phoneticPr fontId="62" type="noConversion"/>
  </si>
  <si>
    <r>
      <rPr>
        <b/>
        <sz val="10"/>
        <color rgb="FF1A1A1A"/>
        <rFont val="돋움"/>
        <family val="3"/>
        <charset val="129"/>
      </rPr>
      <t>임대</t>
    </r>
    <r>
      <rPr>
        <b/>
        <sz val="10"/>
        <color rgb="FF1A1A1A"/>
        <rFont val="Noto Sans CJK SC"/>
        <family val="2"/>
        <charset val="1"/>
      </rPr>
      <t xml:space="preserve"> </t>
    </r>
    <r>
      <rPr>
        <b/>
        <sz val="10"/>
        <color rgb="FF1A1A1A"/>
        <rFont val="돋움"/>
        <family val="3"/>
        <charset val="129"/>
      </rPr>
      <t>및</t>
    </r>
    <r>
      <rPr>
        <b/>
        <sz val="10"/>
        <color rgb="FF1A1A1A"/>
        <rFont val="Noto Sans CJK SC"/>
        <family val="2"/>
        <charset val="1"/>
      </rPr>
      <t xml:space="preserve"> </t>
    </r>
    <r>
      <rPr>
        <b/>
        <sz val="10"/>
        <color rgb="FF1A1A1A"/>
        <rFont val="돋움"/>
        <family val="3"/>
        <charset val="129"/>
      </rPr>
      <t>광고비</t>
    </r>
    <phoneticPr fontId="62" type="noConversion"/>
  </si>
  <si>
    <r>
      <rPr>
        <sz val="9"/>
        <color rgb="FF555555"/>
        <rFont val="돋움"/>
        <family val="3"/>
        <charset val="129"/>
      </rPr>
      <t>임대료</t>
    </r>
    <r>
      <rPr>
        <sz val="9"/>
        <color rgb="FF555555"/>
        <rFont val="Noto Sans CJK SC"/>
        <family val="2"/>
        <charset val="1"/>
      </rPr>
      <t xml:space="preserve">, </t>
    </r>
    <r>
      <rPr>
        <sz val="9"/>
        <color rgb="FF555555"/>
        <rFont val="돋움"/>
        <family val="3"/>
        <charset val="129"/>
      </rPr>
      <t>인터넷</t>
    </r>
    <r>
      <rPr>
        <sz val="9"/>
        <color rgb="FF555555"/>
        <rFont val="Noto Sans CJK SC"/>
        <family val="2"/>
        <charset val="1"/>
      </rPr>
      <t xml:space="preserve"> </t>
    </r>
    <r>
      <rPr>
        <sz val="9"/>
        <color rgb="FF555555"/>
        <rFont val="돋움"/>
        <family val="3"/>
        <charset val="129"/>
      </rPr>
      <t>마케팅</t>
    </r>
    <r>
      <rPr>
        <sz val="9"/>
        <color rgb="FF555555"/>
        <rFont val="Noto Sans CJK SC"/>
        <family val="2"/>
        <charset val="1"/>
      </rPr>
      <t xml:space="preserve">, </t>
    </r>
    <r>
      <rPr>
        <sz val="9"/>
        <color rgb="FF555555"/>
        <rFont val="돋움"/>
        <family val="3"/>
        <charset val="129"/>
      </rPr>
      <t>대리운전</t>
    </r>
    <r>
      <rPr>
        <sz val="9"/>
        <color rgb="FF555555"/>
        <rFont val="Noto Sans CJK SC"/>
        <family val="2"/>
        <charset val="1"/>
      </rPr>
      <t xml:space="preserve"> </t>
    </r>
    <r>
      <rPr>
        <sz val="9"/>
        <color rgb="FF555555"/>
        <rFont val="돋움"/>
        <family val="3"/>
        <charset val="129"/>
      </rPr>
      <t>광고</t>
    </r>
    <r>
      <rPr>
        <sz val="9"/>
        <color rgb="FF555555"/>
        <rFont val="Noto Sans CJK SC"/>
        <family val="2"/>
        <charset val="1"/>
      </rPr>
      <t xml:space="preserve"> </t>
    </r>
    <r>
      <rPr>
        <sz val="9"/>
        <color rgb="FF555555"/>
        <rFont val="돋움"/>
        <family val="3"/>
        <charset val="129"/>
      </rPr>
      <t>등</t>
    </r>
    <phoneticPr fontId="62" type="noConversion"/>
  </si>
  <si>
    <r>
      <rPr>
        <b/>
        <sz val="10"/>
        <color rgb="FF1A1A1A"/>
        <rFont val="돋움"/>
        <family val="3"/>
        <charset val="129"/>
      </rPr>
      <t>외상</t>
    </r>
    <r>
      <rPr>
        <b/>
        <sz val="10"/>
        <color rgb="FF1A1A1A"/>
        <rFont val="Noto Sans CJK SC"/>
        <family val="2"/>
        <charset val="1"/>
      </rPr>
      <t xml:space="preserve"> </t>
    </r>
    <r>
      <rPr>
        <b/>
        <sz val="10"/>
        <color rgb="FF1A1A1A"/>
        <rFont val="돋움"/>
        <family val="3"/>
        <charset val="129"/>
      </rPr>
      <t>매입금</t>
    </r>
    <r>
      <rPr>
        <b/>
        <sz val="10"/>
        <color rgb="FF1A1A1A"/>
        <rFont val="Noto Sans CJK SC"/>
        <family val="2"/>
        <charset val="1"/>
      </rPr>
      <t>-</t>
    </r>
    <r>
      <rPr>
        <b/>
        <sz val="10"/>
        <color rgb="FF1A1A1A"/>
        <rFont val="돋움"/>
        <family val="3"/>
        <charset val="129"/>
      </rPr>
      <t>식재료비</t>
    </r>
    <phoneticPr fontId="62" type="noConversion"/>
  </si>
  <si>
    <r>
      <rPr>
        <sz val="9"/>
        <color rgb="FF555555"/>
        <rFont val="돋움"/>
        <family val="3"/>
        <charset val="129"/>
      </rPr>
      <t>식재료비</t>
    </r>
    <r>
      <rPr>
        <sz val="9"/>
        <color rgb="FF555555"/>
        <rFont val="Noto Sans CJK SC"/>
        <family val="2"/>
        <charset val="1"/>
      </rPr>
      <t xml:space="preserve"> </t>
    </r>
    <r>
      <rPr>
        <sz val="9"/>
        <color rgb="FF555555"/>
        <rFont val="돋움"/>
        <family val="3"/>
        <charset val="129"/>
      </rPr>
      <t/>
    </r>
    <phoneticPr fontId="62" type="noConversion"/>
  </si>
  <si>
    <t>주류대금</t>
    <phoneticPr fontId="62" type="noConversion"/>
  </si>
  <si>
    <t>주류구입</t>
    <phoneticPr fontId="62" type="noConversion"/>
  </si>
  <si>
    <r>
      <t>LIPTON TEA(</t>
    </r>
    <r>
      <rPr>
        <sz val="9"/>
        <color rgb="FF1A1A1A"/>
        <rFont val="돋움"/>
        <family val="3"/>
        <charset val="129"/>
      </rPr>
      <t>찌야</t>
    </r>
    <r>
      <rPr>
        <sz val="9"/>
        <color rgb="FF1A1A1A"/>
        <rFont val="맑은 고딕"/>
        <family val="3"/>
        <charset val="129"/>
      </rPr>
      <t>)</t>
    </r>
    <phoneticPr fontId="62" type="noConversion"/>
  </si>
  <si>
    <t>모자렐라치즈</t>
  </si>
  <si>
    <t>허니 (꿀)</t>
  </si>
  <si>
    <t>kg</t>
    <phoneticPr fontId="62" type="noConversion"/>
  </si>
  <si>
    <t>kg</t>
    <phoneticPr fontId="62" type="noConversion"/>
  </si>
  <si>
    <t>kg</t>
    <phoneticPr fontId="62" type="noConversion"/>
  </si>
  <si>
    <r>
      <rPr>
        <sz val="11"/>
        <color theme="1"/>
        <rFont val="돋움"/>
        <family val="3"/>
        <charset val="129"/>
      </rPr>
      <t>마요네즈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소스</t>
    </r>
    <phoneticPr fontId="62" type="noConversion"/>
  </si>
  <si>
    <t>kg</t>
    <phoneticPr fontId="6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</si>
</sst>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%"/>
    <numFmt numFmtId="177" formatCode="#,##0.##"/>
    <numFmt numFmtId="178" formatCode="#,##0.0000"/>
    <numFmt numFmtId="179" formatCode="#,##0.#"/>
    <numFmt numFmtId="180" formatCode="&quot;g당: &quot;#,##0.0000&quot;원&quot;"/>
  </numFmts>
  <fonts count="68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b/>
      <sz val="15"/>
      <color rgb="FFFFFFFF"/>
      <name val="Noto Sans CJK SC"/>
      <family val="2"/>
    </font>
    <font>
      <sz val="7"/>
      <color rgb="FFBBCCDD"/>
      <name val="Noto Sans CJK SC"/>
      <family val="2"/>
      <charset val="1"/>
    </font>
    <font>
      <b/>
      <sz val="18"/>
      <color rgb="FFFFFFFF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  <charset val="1"/>
    </font>
    <font>
      <sz val="9"/>
      <color rgb="FF1A1A1A"/>
      <name val="맑은 고딕"/>
      <family val="3"/>
      <charset val="129"/>
    </font>
    <font>
      <b/>
      <sz val="9"/>
      <color rgb="FF1A1A1A"/>
      <name val="Noto Sans CJK SC"/>
      <family val="2"/>
      <charset val="1"/>
    </font>
    <font>
      <sz val="9"/>
      <color rgb="FF1A1A1A"/>
      <name val="Noto Sans CJK SC"/>
      <family val="2"/>
      <charset val="1"/>
    </font>
    <font>
      <b/>
      <sz val="9"/>
      <color rgb="FF1C3557"/>
      <name val="맑은 고딕"/>
      <family val="3"/>
      <charset val="129"/>
    </font>
    <font>
      <b/>
      <sz val="8"/>
      <color rgb="FF1C3557"/>
      <name val="Noto Sans CJK SC"/>
      <family val="2"/>
      <charset val="1"/>
    </font>
    <font>
      <b/>
      <sz val="9"/>
      <color rgb="FF1A1A1A"/>
      <name val="맑은 고딕"/>
      <family val="3"/>
      <charset val="129"/>
    </font>
    <font>
      <b/>
      <sz val="9"/>
      <color rgb="FF1A1A1A"/>
      <name val="Noto Sans CJK SC"/>
      <family val="2"/>
    </font>
    <font>
      <i/>
      <sz val="8"/>
      <color rgb="FF666666"/>
      <name val="Noto Sans CJK SC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sz val="8"/>
      <color rgb="FF7A4800"/>
      <name val="Noto Sans CJK SC"/>
      <family val="2"/>
      <charset val="1"/>
    </font>
    <font>
      <b/>
      <sz val="9"/>
      <color rgb="FFFFFFFF"/>
      <name val="Noto Sans CJK SC"/>
      <family val="2"/>
    </font>
    <font>
      <b/>
      <sz val="9"/>
      <color rgb="FF1B6B58"/>
      <name val="맑은 고딕"/>
      <family val="3"/>
      <charset val="129"/>
    </font>
    <font>
      <sz val="9"/>
      <color rgb="FF1A1A1A"/>
      <name val="Noto Sans CJK SC"/>
      <family val="2"/>
    </font>
    <font>
      <sz val="8"/>
      <color rgb="FF8B0000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rgb="FF888888"/>
      <name val="맑은 고딕"/>
      <family val="3"/>
      <charset val="129"/>
    </font>
    <font>
      <b/>
      <sz val="10"/>
      <color rgb="FF1A1A1A"/>
      <name val="Noto Sans CJK SC"/>
      <family val="2"/>
      <charset val="1"/>
    </font>
    <font>
      <b/>
      <sz val="10"/>
      <color rgb="FF8B0000"/>
      <name val="맑은 고딕"/>
      <family val="3"/>
      <charset val="129"/>
    </font>
    <font>
      <sz val="9"/>
      <color rgb="FF555555"/>
      <name val="Noto Sans CJK SC"/>
      <family val="2"/>
      <charset val="1"/>
    </font>
    <font>
      <b/>
      <sz val="10"/>
      <color rgb="FF1A1A1A"/>
      <name val="맑은 고딕"/>
      <family val="3"/>
      <charset val="129"/>
    </font>
    <font>
      <b/>
      <sz val="10"/>
      <color rgb="FF1A1A1A"/>
      <name val="Noto Sans CJK SC"/>
      <family val="2"/>
    </font>
    <font>
      <sz val="9"/>
      <color rgb="FF555555"/>
      <name val="맑은 고딕"/>
      <family val="3"/>
      <charset val="129"/>
    </font>
    <font>
      <sz val="9"/>
      <color rgb="FF555555"/>
      <name val="Noto Sans CJK SC"/>
      <family val="2"/>
    </font>
    <font>
      <b/>
      <sz val="10"/>
      <color rgb="FF8B0000"/>
      <name val="Noto Sans CJK SC"/>
      <family val="2"/>
      <charset val="1"/>
    </font>
    <font>
      <sz val="8"/>
      <color rgb="FF555555"/>
      <name val="Noto Sans CJK SC"/>
      <family val="2"/>
      <charset val="1"/>
    </font>
    <font>
      <b/>
      <sz val="10"/>
      <color rgb="FF1B6B58"/>
      <name val="맑은 고딕"/>
      <family val="3"/>
      <charset val="129"/>
    </font>
    <font>
      <b/>
      <sz val="10"/>
      <color rgb="FF1B6B58"/>
      <name val="Noto Sans CJK SC"/>
      <family val="2"/>
      <charset val="1"/>
    </font>
    <font>
      <b/>
      <sz val="13"/>
      <color rgb="FFFFFFFF"/>
      <name val="맑은 고딕"/>
      <family val="3"/>
      <charset val="129"/>
    </font>
    <font>
      <b/>
      <sz val="13"/>
      <color rgb="FFFFFFFF"/>
      <name val="Noto Sans CJK SC"/>
      <family val="2"/>
    </font>
    <font>
      <sz val="8"/>
      <color rgb="FF1C3557"/>
      <name val="Noto Sans CJK SC"/>
      <family val="2"/>
      <charset val="1"/>
    </font>
    <font>
      <b/>
      <sz val="11"/>
      <color rgb="FF1C3557"/>
      <name val="Noto Sans CJK SC"/>
      <family val="2"/>
      <charset val="1"/>
    </font>
    <font>
      <b/>
      <sz val="9"/>
      <color rgb="FF222222"/>
      <name val="맑은 고딕"/>
      <family val="3"/>
      <charset val="129"/>
    </font>
    <font>
      <b/>
      <sz val="9"/>
      <color rgb="FF8B0000"/>
      <name val="맑은 고딕"/>
      <family val="3"/>
      <charset val="129"/>
    </font>
    <font>
      <b/>
      <sz val="9"/>
      <color rgb="FF4E2272"/>
      <name val="맑은 고딕"/>
      <family val="3"/>
      <charset val="129"/>
    </font>
    <font>
      <b/>
      <sz val="10"/>
      <color rgb="FF1C3557"/>
      <name val="맑은 고딕"/>
      <family val="3"/>
      <charset val="129"/>
    </font>
    <font>
      <b/>
      <sz val="9"/>
      <color rgb="FF1C3557"/>
      <name val="Noto Sans CJK SC"/>
      <family val="2"/>
      <charset val="1"/>
    </font>
    <font>
      <b/>
      <sz val="9"/>
      <color rgb="FF2C4F7A"/>
      <name val="Noto Sans CJK SC"/>
      <family val="2"/>
      <charset val="1"/>
    </font>
    <font>
      <b/>
      <sz val="9"/>
      <color rgb="FF0044AA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8"/>
      <color rgb="FF4E2272"/>
      <name val="Noto Sans CJK SC"/>
      <family val="2"/>
      <charset val="1"/>
    </font>
    <font>
      <b/>
      <sz val="9"/>
      <color rgb="FF4E2272"/>
      <name val="Noto Sans CJK SC"/>
      <family val="2"/>
      <charset val="1"/>
    </font>
    <font>
      <b/>
      <sz val="9"/>
      <color rgb="FF6A2F9A"/>
      <name val="맑은 고딕"/>
      <family val="3"/>
      <charset val="129"/>
    </font>
    <font>
      <b/>
      <sz val="11"/>
      <color rgb="FF1C3557"/>
      <name val="맑은 고딕"/>
      <family val="3"/>
      <charset val="129"/>
    </font>
    <font>
      <b/>
      <sz val="11"/>
      <color rgb="FF1C3557"/>
      <name val="Noto Sans CJK SC"/>
      <family val="2"/>
    </font>
    <font>
      <b/>
      <sz val="11"/>
      <color rgb="FFC47A1E"/>
      <name val="Noto Sans CJK SC"/>
      <family val="2"/>
      <charset val="1"/>
    </font>
    <font>
      <b/>
      <sz val="9"/>
      <color rgb="FF5A3800"/>
      <name val="Noto Sans CJK SC"/>
      <family val="2"/>
      <charset val="1"/>
    </font>
    <font>
      <b/>
      <sz val="8"/>
      <color rgb="FFFFFFFF"/>
      <name val="맑은 고딕"/>
      <family val="3"/>
      <charset val="129"/>
    </font>
    <font>
      <b/>
      <sz val="8"/>
      <color rgb="FFFFFFFF"/>
      <name val="Noto Sans CJK SC"/>
      <family val="2"/>
      <charset val="1"/>
    </font>
    <font>
      <b/>
      <sz val="8"/>
      <color rgb="FFFFFFFF"/>
      <name val="Noto Sans CJK SC"/>
      <family val="2"/>
    </font>
    <font>
      <b/>
      <sz val="10"/>
      <color rgb="FFC47A1E"/>
      <name val="Noto Sans CJK SC"/>
      <family val="2"/>
      <charset val="1"/>
    </font>
    <font>
      <b/>
      <sz val="10"/>
      <color rgb="FFFFFFFF"/>
      <name val="맑은 고딕"/>
      <family val="3"/>
      <charset val="129"/>
    </font>
    <font>
      <b/>
      <sz val="10"/>
      <color rgb="FF4E2272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1A1A1A"/>
      <name val="돋움"/>
      <family val="3"/>
      <charset val="129"/>
    </font>
    <font>
      <sz val="9"/>
      <color rgb="FF555555"/>
      <name val="돋움"/>
      <family val="3"/>
      <charset val="129"/>
    </font>
    <font>
      <b/>
      <sz val="12"/>
      <color theme="5"/>
      <name val="Calibri"/>
      <family val="2"/>
    </font>
    <font>
      <sz val="9"/>
      <color rgb="FF1A1A1A"/>
      <name val="돋움"/>
      <family val="3"/>
      <charset val="129"/>
    </font>
    <font>
      <sz val="11"/>
      <color theme="1"/>
      <name val="돋움"/>
      <family val="3"/>
      <charset val="129"/>
    </font>
  </fonts>
  <fills count="60">
    <fill>
      <patternFill patternType="none"/>
    </fill>
    <fill>
      <patternFill patternType="gray125"/>
    </fill>
    <fill>
      <patternFill patternType="solid">
        <fgColor rgb="FFFFFFFF"/>
        <bgColor rgb="FFFFF8E2"/>
      </patternFill>
    </fill>
    <fill>
      <patternFill patternType="solid">
        <fgColor rgb="FF1C3555"/>
        <bgColor rgb="FF1C3557"/>
      </patternFill>
    </fill>
    <fill>
      <patternFill patternType="mediumGray">
        <fgColor rgb="FF1E734A"/>
        <bgColor rgb="FF1A6965"/>
      </patternFill>
    </fill>
    <fill>
      <patternFill patternType="solid">
        <fgColor rgb="FF890000"/>
        <bgColor rgb="FF8B0000"/>
      </patternFill>
    </fill>
    <fill>
      <patternFill patternType="solid">
        <fgColor rgb="FF4D1A79"/>
        <bgColor rgb="FF701E9D"/>
      </patternFill>
    </fill>
    <fill>
      <patternFill patternType="mediumGray">
        <fgColor rgb="FF144B73"/>
        <bgColor rgb="FF414E53"/>
      </patternFill>
    </fill>
    <fill>
      <patternFill patternType="solid">
        <fgColor rgb="FFD94F00"/>
        <bgColor rgb="FFD32F2F"/>
      </patternFill>
    </fill>
    <fill>
      <patternFill patternType="solid">
        <fgColor rgb="FFEEF3FA"/>
        <bgColor rgb="FFF0F4F9"/>
      </patternFill>
    </fill>
    <fill>
      <patternFill patternType="darkGray">
        <fgColor rgb="FF783600"/>
        <bgColor rgb="FFA04010"/>
      </patternFill>
    </fill>
    <fill>
      <patternFill patternType="solid">
        <fgColor rgb="FF1A6965"/>
        <bgColor rgb="FF1E734A"/>
      </patternFill>
    </fill>
    <fill>
      <patternFill patternType="mediumGray">
        <fgColor rgb="FF1E734A"/>
        <bgColor rgb="FF3E9C42"/>
      </patternFill>
    </fill>
    <fill>
      <patternFill patternType="solid">
        <fgColor rgb="FFB71C1C"/>
        <bgColor rgb="FFD32F2F"/>
      </patternFill>
    </fill>
    <fill>
      <patternFill patternType="solid">
        <fgColor rgb="FFB8860B"/>
        <bgColor rgb="FFC47A1E"/>
      </patternFill>
    </fill>
    <fill>
      <patternFill patternType="darkGray">
        <fgColor rgb="FF937D70"/>
        <bgColor rgb="FF5D6A71"/>
      </patternFill>
    </fill>
    <fill>
      <patternFill patternType="darkGray">
        <fgColor rgb="FF414E53"/>
        <bgColor rgb="FF1C3555"/>
      </patternFill>
    </fill>
    <fill>
      <patternFill patternType="darkGray">
        <fgColor rgb="FF701E9D"/>
        <bgColor rgb="FF9C27B0"/>
      </patternFill>
    </fill>
    <fill>
      <patternFill patternType="darkGray">
        <fgColor rgb="FF037DC5"/>
        <bgColor rgb="FF2889AD"/>
      </patternFill>
    </fill>
    <fill>
      <patternFill patternType="solid">
        <fgColor rgb="FF4D1A79"/>
        <bgColor rgb="FF701E9D"/>
      </patternFill>
    </fill>
    <fill>
      <patternFill patternType="solid">
        <fgColor rgb="FFF0F4F9"/>
        <bgColor rgb="FFEEF3FA"/>
      </patternFill>
    </fill>
    <fill>
      <patternFill patternType="solid">
        <fgColor rgb="FFFEF6E0"/>
        <bgColor rgb="FFFFF8E2"/>
      </patternFill>
    </fill>
    <fill>
      <patternFill patternType="solid">
        <fgColor rgb="FFFFFF99"/>
        <bgColor rgb="FFFEF6E0"/>
      </patternFill>
    </fill>
    <fill>
      <patternFill patternType="solid">
        <fgColor rgb="FFECF9EC"/>
        <bgColor rgb="FFEBF5F2"/>
      </patternFill>
    </fill>
    <fill>
      <patternFill patternType="solid">
        <fgColor rgb="FFEBF5F2"/>
        <bgColor rgb="FFE8F5E9"/>
      </patternFill>
    </fill>
    <fill>
      <patternFill patternType="solid">
        <fgColor rgb="FFFDEDED"/>
        <bgColor rgb="FFFEEBEE"/>
      </patternFill>
    </fill>
    <fill>
      <patternFill patternType="solid">
        <fgColor rgb="FFE7CAC3"/>
        <bgColor rgb="FFD0D7E3"/>
      </patternFill>
    </fill>
    <fill>
      <patternFill patternType="solid">
        <fgColor rgb="FF840000"/>
        <bgColor rgb="FF890000"/>
      </patternFill>
    </fill>
    <fill>
      <patternFill patternType="mediumGray">
        <fgColor rgb="FFFEEBEE"/>
        <bgColor rgb="FFFFE8E0"/>
      </patternFill>
    </fill>
    <fill>
      <patternFill patternType="solid">
        <fgColor rgb="FFE8763A"/>
        <bgColor rgb="FFC47A1E"/>
      </patternFill>
    </fill>
    <fill>
      <patternFill patternType="solid">
        <fgColor rgb="FFDDEAF8"/>
        <bgColor rgb="FFDCE9F7"/>
      </patternFill>
    </fill>
    <fill>
      <patternFill patternType="solid">
        <fgColor rgb="FFDCE9F7"/>
        <bgColor rgb="FFDDEAF8"/>
      </patternFill>
    </fill>
    <fill>
      <patternFill patternType="darkGray">
        <fgColor rgb="FFECF0F8"/>
        <bgColor rgb="FFECEFF1"/>
      </patternFill>
    </fill>
    <fill>
      <patternFill patternType="solid">
        <fgColor rgb="FFFFE8E0"/>
        <bgColor rgb="FFFEEBEE"/>
      </patternFill>
    </fill>
    <fill>
      <patternFill patternType="solid">
        <fgColor rgb="FFECE2F5"/>
        <bgColor rgb="FFF0E7F6"/>
      </patternFill>
    </fill>
    <fill>
      <patternFill patternType="solid">
        <fgColor rgb="FFECF0F8"/>
        <bgColor rgb="FFECEFF1"/>
      </patternFill>
    </fill>
    <fill>
      <patternFill patternType="solid">
        <fgColor rgb="FFA04010"/>
        <bgColor rgb="FF783600"/>
      </patternFill>
    </fill>
    <fill>
      <patternFill patternType="solid">
        <fgColor rgb="FFFDF0E8"/>
        <bgColor rgb="FFFDF0E0"/>
      </patternFill>
    </fill>
    <fill>
      <patternFill patternType="solid">
        <fgColor rgb="FF2889AD"/>
        <bgColor rgb="FF037DC5"/>
      </patternFill>
    </fill>
    <fill>
      <patternFill patternType="solid">
        <fgColor rgb="FFE5F4FA"/>
        <bgColor rgb="FFE1F5FE"/>
      </patternFill>
    </fill>
    <fill>
      <patternFill patternType="solid">
        <fgColor rgb="FF3E9C42"/>
        <bgColor rgb="FF1E734A"/>
      </patternFill>
    </fill>
    <fill>
      <patternFill patternType="solid">
        <fgColor rgb="FFE8F5E9"/>
        <bgColor rgb="FFEBF5F2"/>
      </patternFill>
    </fill>
    <fill>
      <patternFill patternType="solid">
        <fgColor rgb="FFD32F2F"/>
        <bgColor rgb="FFB71C1C"/>
      </patternFill>
    </fill>
    <fill>
      <patternFill patternType="solid">
        <fgColor rgb="FFFEEBEE"/>
        <bgColor rgb="FFFDEDED"/>
      </patternFill>
    </fill>
    <fill>
      <patternFill patternType="solid">
        <fgColor rgb="FFD4A017"/>
        <bgColor rgb="FFB8860B"/>
      </patternFill>
    </fill>
    <fill>
      <patternFill patternType="solid">
        <fgColor rgb="FFFFF8E2"/>
        <bgColor rgb="FFFEF6E0"/>
      </patternFill>
    </fill>
    <fill>
      <patternFill patternType="solid">
        <fgColor rgb="FF937D70"/>
        <bgColor rgb="FFC47A1E"/>
      </patternFill>
    </fill>
    <fill>
      <patternFill patternType="solid">
        <fgColor rgb="FFEFEBE9"/>
        <bgColor rgb="FFECEFF1"/>
      </patternFill>
    </fill>
    <fill>
      <patternFill patternType="solid">
        <fgColor rgb="FF5D6A71"/>
        <bgColor rgb="FF414E53"/>
      </patternFill>
    </fill>
    <fill>
      <patternFill patternType="solid">
        <fgColor rgb="FFECEFF1"/>
        <bgColor rgb="FFECF0F8"/>
      </patternFill>
    </fill>
    <fill>
      <patternFill patternType="solid">
        <fgColor rgb="FF9C27B0"/>
        <bgColor rgb="FF701E9D"/>
      </patternFill>
    </fill>
    <fill>
      <patternFill patternType="darkGray">
        <fgColor rgb="FFF0E7F6"/>
        <bgColor rgb="FFECE2F5"/>
      </patternFill>
    </fill>
    <fill>
      <patternFill patternType="solid">
        <fgColor rgb="FF037DC5"/>
        <bgColor rgb="FF2889AD"/>
      </patternFill>
    </fill>
    <fill>
      <patternFill patternType="solid">
        <fgColor rgb="FFE1F5FE"/>
        <bgColor rgb="FFE5F4FA"/>
      </patternFill>
    </fill>
    <fill>
      <patternFill patternType="darkGray">
        <fgColor rgb="FF701E9D"/>
        <bgColor rgb="FF4D1A79"/>
      </patternFill>
    </fill>
    <fill>
      <patternFill patternType="solid">
        <fgColor rgb="FFF0E7F6"/>
        <bgColor rgb="FFECE2F5"/>
      </patternFill>
    </fill>
    <fill>
      <patternFill patternType="solid">
        <fgColor rgb="FFC47A1E"/>
        <bgColor rgb="FFB8860B"/>
      </patternFill>
    </fill>
    <fill>
      <patternFill patternType="solid">
        <fgColor rgb="FFFDF0E0"/>
        <bgColor rgb="FFFDF0E8"/>
      </patternFill>
    </fill>
    <fill>
      <patternFill patternType="solid">
        <fgColor rgb="FF8A5E1A"/>
        <bgColor rgb="FFA04010"/>
      </patternFill>
    </fill>
    <fill>
      <patternFill patternType="solid">
        <fgColor theme="9" tint="0.59999389629810485"/>
        <bgColor rgb="FFFFF8E2"/>
      </patternFill>
    </fill>
  </fills>
  <borders count="9">
    <border>
      <left/>
      <right/>
      <top/>
      <bottom/>
      <diagonal/>
    </border>
    <border>
      <left style="thin">
        <color rgb="FF1C3550"/>
      </left>
      <right style="thin">
        <color rgb="FF1C3550"/>
      </right>
      <top style="thin">
        <color rgb="FF1C3550"/>
      </top>
      <bottom style="thin">
        <color rgb="FF1C3550"/>
      </bottom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thin">
        <color rgb="FF840000"/>
      </left>
      <right style="thin">
        <color rgb="FF840000"/>
      </right>
      <top style="thin">
        <color rgb="FF840000"/>
      </top>
      <bottom style="thin">
        <color rgb="FF840000"/>
      </bottom>
      <diagonal/>
    </border>
    <border>
      <left style="medium">
        <color rgb="FF840000"/>
      </left>
      <right style="medium">
        <color rgb="FF840000"/>
      </right>
      <top style="medium">
        <color rgb="FF840000"/>
      </top>
      <bottom style="medium">
        <color rgb="FF840000"/>
      </bottom>
      <diagonal/>
    </border>
    <border>
      <left style="thin">
        <color rgb="FFAABBD0"/>
      </left>
      <right style="thin">
        <color rgb="FFAABBD0"/>
      </right>
      <top style="thin">
        <color rgb="FFAABBD0"/>
      </top>
      <bottom style="thin">
        <color rgb="FFAABBD0"/>
      </bottom>
      <diagonal/>
    </border>
    <border>
      <left style="thin">
        <color rgb="FFE7CAC3"/>
      </left>
      <right style="thin">
        <color rgb="FFE7CAC3"/>
      </right>
      <top style="thin">
        <color rgb="FFE7CAC3"/>
      </top>
      <bottom style="thin">
        <color rgb="FFE7CAC3"/>
      </bottom>
      <diagonal/>
    </border>
    <border>
      <left style="thin">
        <color rgb="FFC47A1E"/>
      </left>
      <right style="thin">
        <color rgb="FFC47A1E"/>
      </right>
      <top style="thin">
        <color rgb="FFC47A1E"/>
      </top>
      <bottom style="thin">
        <color rgb="FFC47A1E"/>
      </bottom>
      <diagonal/>
    </border>
    <border>
      <left style="thin">
        <color rgb="FFD0D7E3"/>
      </left>
      <right style="thin">
        <color rgb="FFD0D7E3"/>
      </right>
      <top/>
      <bottom/>
      <diagonal/>
    </border>
  </borders>
  <cellStyleXfs count="1">
    <xf numFmtId="0" fontId="0" fillId="0" borderId="0"/>
  </cellStyleXfs>
  <cellXfs count="231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right" vertical="center"/>
    </xf>
    <xf numFmtId="176" fontId="11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3" fontId="8" fillId="9" borderId="2" xfId="0" applyNumberFormat="1" applyFont="1" applyFill="1" applyBorder="1" applyAlignment="1">
      <alignment horizontal="right" vertical="center"/>
    </xf>
    <xf numFmtId="176" fontId="11" fillId="9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/>
    </xf>
    <xf numFmtId="0" fontId="0" fillId="20" borderId="0" xfId="0" applyFill="1" applyAlignment="1"/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3" fontId="8" fillId="22" borderId="2" xfId="0" applyNumberFormat="1" applyFont="1" applyFill="1" applyBorder="1" applyAlignment="1">
      <alignment horizontal="right" vertical="center"/>
    </xf>
    <xf numFmtId="177" fontId="8" fillId="2" borderId="2" xfId="0" applyNumberFormat="1" applyFont="1" applyFill="1" applyBorder="1" applyAlignment="1">
      <alignment horizontal="right" vertical="center"/>
    </xf>
    <xf numFmtId="178" fontId="20" fillId="23" borderId="2" xfId="0" applyNumberFormat="1" applyFont="1" applyFill="1" applyBorder="1" applyAlignment="1">
      <alignment horizontal="right" vertical="center"/>
    </xf>
    <xf numFmtId="0" fontId="8" fillId="24" borderId="2" xfId="0" applyFont="1" applyFill="1" applyBorder="1" applyAlignment="1">
      <alignment horizontal="center" vertical="center"/>
    </xf>
    <xf numFmtId="0" fontId="10" fillId="24" borderId="2" xfId="0" applyFont="1" applyFill="1" applyBorder="1" applyAlignment="1">
      <alignment horizontal="left" vertical="center"/>
    </xf>
    <xf numFmtId="177" fontId="8" fillId="24" borderId="2" xfId="0" applyNumberFormat="1" applyFont="1" applyFill="1" applyBorder="1" applyAlignment="1">
      <alignment horizontal="right" vertical="center"/>
    </xf>
    <xf numFmtId="3" fontId="8" fillId="24" borderId="2" xfId="0" applyNumberFormat="1" applyFont="1" applyFill="1" applyBorder="1" applyAlignment="1">
      <alignment horizontal="right" vertical="center"/>
    </xf>
    <xf numFmtId="0" fontId="8" fillId="24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left" vertical="center"/>
    </xf>
    <xf numFmtId="3" fontId="27" fillId="22" borderId="2" xfId="0" applyNumberFormat="1" applyFont="1" applyFill="1" applyBorder="1" applyAlignment="1">
      <alignment horizontal="right" vertical="center"/>
    </xf>
    <xf numFmtId="0" fontId="28" fillId="2" borderId="2" xfId="0" applyFont="1" applyFill="1" applyBorder="1" applyAlignment="1">
      <alignment horizontal="left" vertical="center"/>
    </xf>
    <xf numFmtId="0" fontId="25" fillId="25" borderId="2" xfId="0" applyFont="1" applyFill="1" applyBorder="1" applyAlignment="1">
      <alignment horizontal="center" vertical="center"/>
    </xf>
    <xf numFmtId="0" fontId="26" fillId="25" borderId="2" xfId="0" applyFont="1" applyFill="1" applyBorder="1" applyAlignment="1">
      <alignment horizontal="left" vertical="center"/>
    </xf>
    <xf numFmtId="0" fontId="28" fillId="25" borderId="2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left" vertical="center"/>
    </xf>
    <xf numFmtId="0" fontId="31" fillId="25" borderId="2" xfId="0" applyFont="1" applyFill="1" applyBorder="1" applyAlignment="1">
      <alignment horizontal="left" vertical="center"/>
    </xf>
    <xf numFmtId="0" fontId="0" fillId="26" borderId="4" xfId="0" applyFill="1" applyBorder="1" applyAlignment="1"/>
    <xf numFmtId="0" fontId="26" fillId="28" borderId="2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left" vertical="center"/>
    </xf>
    <xf numFmtId="176" fontId="35" fillId="23" borderId="2" xfId="0" applyNumberFormat="1" applyFont="1" applyFill="1" applyBorder="1" applyAlignment="1">
      <alignment horizontal="right" vertical="center"/>
    </xf>
    <xf numFmtId="0" fontId="36" fillId="23" borderId="2" xfId="0" applyFont="1" applyFill="1" applyBorder="1" applyAlignment="1">
      <alignment horizontal="right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0" fillId="30" borderId="5" xfId="0" applyFill="1" applyBorder="1" applyAlignment="1"/>
    <xf numFmtId="0" fontId="40" fillId="30" borderId="5" xfId="0" applyFont="1" applyFill="1" applyBorder="1" applyAlignment="1">
      <alignment horizontal="left" vertical="center"/>
    </xf>
    <xf numFmtId="3" fontId="41" fillId="30" borderId="5" xfId="0" applyNumberFormat="1" applyFont="1" applyFill="1" applyBorder="1" applyAlignment="1">
      <alignment horizontal="right" vertical="center"/>
    </xf>
    <xf numFmtId="3" fontId="20" fillId="30" borderId="5" xfId="0" applyNumberFormat="1" applyFont="1" applyFill="1" applyBorder="1" applyAlignment="1">
      <alignment horizontal="right" vertical="center"/>
    </xf>
    <xf numFmtId="3" fontId="42" fillId="30" borderId="5" xfId="0" applyNumberFormat="1" applyFont="1" applyFill="1" applyBorder="1" applyAlignment="1">
      <alignment horizontal="right" vertical="center"/>
    </xf>
    <xf numFmtId="3" fontId="43" fillId="30" borderId="5" xfId="0" applyNumberFormat="1" applyFont="1" applyFill="1" applyBorder="1" applyAlignment="1">
      <alignment horizontal="right" vertical="center"/>
    </xf>
    <xf numFmtId="176" fontId="44" fillId="30" borderId="5" xfId="0" applyNumberFormat="1" applyFont="1" applyFill="1" applyBorder="1" applyAlignment="1">
      <alignment horizontal="center" vertical="center"/>
    </xf>
    <xf numFmtId="0" fontId="45" fillId="30" borderId="5" xfId="0" applyFont="1" applyFill="1" applyBorder="1" applyAlignment="1">
      <alignment horizontal="center" vertical="center"/>
    </xf>
    <xf numFmtId="0" fontId="25" fillId="32" borderId="2" xfId="0" applyFont="1" applyFill="1" applyBorder="1" applyAlignment="1">
      <alignment horizontal="center" vertical="center"/>
    </xf>
    <xf numFmtId="0" fontId="46" fillId="31" borderId="2" xfId="0" applyFont="1" applyFill="1" applyBorder="1" applyAlignment="1">
      <alignment horizontal="center" vertical="center"/>
    </xf>
    <xf numFmtId="179" fontId="47" fillId="2" borderId="2" xfId="0" applyNumberFormat="1" applyFont="1" applyFill="1" applyBorder="1" applyAlignment="1">
      <alignment horizontal="right" vertical="center"/>
    </xf>
    <xf numFmtId="176" fontId="48" fillId="2" borderId="2" xfId="0" applyNumberFormat="1" applyFont="1" applyFill="1" applyBorder="1" applyAlignment="1">
      <alignment horizontal="right" vertical="center"/>
    </xf>
    <xf numFmtId="3" fontId="43" fillId="23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/>
    <xf numFmtId="0" fontId="9" fillId="33" borderId="2" xfId="0" applyFont="1" applyFill="1" applyBorder="1" applyAlignment="1">
      <alignment horizontal="left" vertical="center"/>
    </xf>
    <xf numFmtId="179" fontId="47" fillId="33" borderId="2" xfId="0" applyNumberFormat="1" applyFont="1" applyFill="1" applyBorder="1" applyAlignment="1">
      <alignment horizontal="right" vertical="center"/>
    </xf>
    <xf numFmtId="176" fontId="48" fillId="33" borderId="2" xfId="0" applyNumberFormat="1" applyFont="1" applyFill="1" applyBorder="1" applyAlignment="1">
      <alignment horizontal="right" vertical="center"/>
    </xf>
    <xf numFmtId="0" fontId="0" fillId="33" borderId="2" xfId="0" applyFill="1" applyBorder="1" applyAlignment="1"/>
    <xf numFmtId="0" fontId="13" fillId="22" borderId="2" xfId="0" applyFont="1" applyFill="1" applyBorder="1" applyAlignment="1">
      <alignment horizontal="left" vertical="center"/>
    </xf>
    <xf numFmtId="179" fontId="47" fillId="22" borderId="2" xfId="0" applyNumberFormat="1" applyFont="1" applyFill="1" applyBorder="1" applyAlignment="1">
      <alignment horizontal="right" vertical="center"/>
    </xf>
    <xf numFmtId="176" fontId="48" fillId="22" borderId="2" xfId="0" applyNumberFormat="1" applyFont="1" applyFill="1" applyBorder="1" applyAlignment="1">
      <alignment horizontal="right" vertical="center"/>
    </xf>
    <xf numFmtId="0" fontId="25" fillId="34" borderId="2" xfId="0" applyFont="1" applyFill="1" applyBorder="1" applyAlignment="1">
      <alignment horizontal="center" vertical="center"/>
    </xf>
    <xf numFmtId="0" fontId="50" fillId="34" borderId="2" xfId="0" applyFont="1" applyFill="1" applyBorder="1" applyAlignment="1">
      <alignment horizontal="center" vertical="center"/>
    </xf>
    <xf numFmtId="178" fontId="51" fillId="34" borderId="2" xfId="0" applyNumberFormat="1" applyFont="1" applyFill="1" applyBorder="1" applyAlignment="1">
      <alignment horizontal="right" vertical="center"/>
    </xf>
    <xf numFmtId="3" fontId="43" fillId="34" borderId="2" xfId="0" applyNumberFormat="1" applyFont="1" applyFill="1" applyBorder="1" applyAlignment="1">
      <alignment horizontal="right" vertical="center"/>
    </xf>
    <xf numFmtId="179" fontId="47" fillId="9" borderId="2" xfId="0" applyNumberFormat="1" applyFont="1" applyFill="1" applyBorder="1" applyAlignment="1">
      <alignment horizontal="right" vertical="center"/>
    </xf>
    <xf numFmtId="176" fontId="48" fillId="9" borderId="2" xfId="0" applyNumberFormat="1" applyFont="1" applyFill="1" applyBorder="1" applyAlignment="1">
      <alignment horizontal="right" vertical="center"/>
    </xf>
    <xf numFmtId="0" fontId="0" fillId="9" borderId="2" xfId="0" applyFill="1" applyBorder="1" applyAlignment="1"/>
    <xf numFmtId="0" fontId="0" fillId="35" borderId="0" xfId="0" applyFill="1" applyAlignment="1"/>
    <xf numFmtId="0" fontId="13" fillId="33" borderId="2" xfId="0" applyFont="1" applyFill="1" applyBorder="1" applyAlignment="1">
      <alignment horizontal="left" vertical="center"/>
    </xf>
    <xf numFmtId="0" fontId="6" fillId="36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9" fillId="37" borderId="2" xfId="0" applyFont="1" applyFill="1" applyBorder="1" applyAlignment="1">
      <alignment horizontal="left" vertical="center"/>
    </xf>
    <xf numFmtId="179" fontId="47" fillId="37" borderId="2" xfId="0" applyNumberFormat="1" applyFont="1" applyFill="1" applyBorder="1" applyAlignment="1">
      <alignment horizontal="right" vertical="center"/>
    </xf>
    <xf numFmtId="176" fontId="48" fillId="37" borderId="2" xfId="0" applyNumberFormat="1" applyFont="1" applyFill="1" applyBorder="1" applyAlignment="1">
      <alignment horizontal="right" vertical="center"/>
    </xf>
    <xf numFmtId="0" fontId="0" fillId="37" borderId="2" xfId="0" applyFill="1" applyBorder="1" applyAlignment="1"/>
    <xf numFmtId="0" fontId="13" fillId="37" borderId="2" xfId="0" applyFont="1" applyFill="1" applyBorder="1" applyAlignment="1">
      <alignment horizontal="left" vertical="center"/>
    </xf>
    <xf numFmtId="0" fontId="6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9" fillId="39" borderId="2" xfId="0" applyFont="1" applyFill="1" applyBorder="1" applyAlignment="1">
      <alignment horizontal="left" vertical="center"/>
    </xf>
    <xf numFmtId="179" fontId="47" fillId="39" borderId="2" xfId="0" applyNumberFormat="1" applyFont="1" applyFill="1" applyBorder="1" applyAlignment="1">
      <alignment horizontal="right" vertical="center"/>
    </xf>
    <xf numFmtId="176" fontId="48" fillId="39" borderId="2" xfId="0" applyNumberFormat="1" applyFont="1" applyFill="1" applyBorder="1" applyAlignment="1">
      <alignment horizontal="right" vertical="center"/>
    </xf>
    <xf numFmtId="0" fontId="0" fillId="39" borderId="2" xfId="0" applyFill="1" applyBorder="1" applyAlignment="1"/>
    <xf numFmtId="0" fontId="6" fillId="40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9" fillId="41" borderId="2" xfId="0" applyFont="1" applyFill="1" applyBorder="1" applyAlignment="1">
      <alignment horizontal="left" vertical="center"/>
    </xf>
    <xf numFmtId="179" fontId="47" fillId="41" borderId="2" xfId="0" applyNumberFormat="1" applyFont="1" applyFill="1" applyBorder="1" applyAlignment="1">
      <alignment horizontal="right" vertical="center"/>
    </xf>
    <xf numFmtId="176" fontId="48" fillId="41" borderId="2" xfId="0" applyNumberFormat="1" applyFont="1" applyFill="1" applyBorder="1" applyAlignment="1">
      <alignment horizontal="right" vertical="center"/>
    </xf>
    <xf numFmtId="0" fontId="0" fillId="41" borderId="2" xfId="0" applyFill="1" applyBorder="1" applyAlignment="1"/>
    <xf numFmtId="0" fontId="13" fillId="41" borderId="2" xfId="0" applyFont="1" applyFill="1" applyBorder="1" applyAlignment="1">
      <alignment horizontal="left" vertical="center"/>
    </xf>
    <xf numFmtId="0" fontId="6" fillId="42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9" fillId="43" borderId="2" xfId="0" applyFont="1" applyFill="1" applyBorder="1" applyAlignment="1">
      <alignment horizontal="left" vertical="center"/>
    </xf>
    <xf numFmtId="179" fontId="47" fillId="43" borderId="2" xfId="0" applyNumberFormat="1" applyFont="1" applyFill="1" applyBorder="1" applyAlignment="1">
      <alignment horizontal="right" vertical="center"/>
    </xf>
    <xf numFmtId="176" fontId="48" fillId="43" borderId="2" xfId="0" applyNumberFormat="1" applyFont="1" applyFill="1" applyBorder="1" applyAlignment="1">
      <alignment horizontal="right" vertical="center"/>
    </xf>
    <xf numFmtId="0" fontId="0" fillId="43" borderId="2" xfId="0" applyFill="1" applyBorder="1" applyAlignment="1"/>
    <xf numFmtId="0" fontId="13" fillId="43" borderId="2" xfId="0" applyFont="1" applyFill="1" applyBorder="1" applyAlignment="1">
      <alignment horizontal="left" vertical="center"/>
    </xf>
    <xf numFmtId="0" fontId="6" fillId="44" borderId="1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/>
    </xf>
    <xf numFmtId="0" fontId="9" fillId="45" borderId="2" xfId="0" applyFont="1" applyFill="1" applyBorder="1" applyAlignment="1">
      <alignment horizontal="left" vertical="center"/>
    </xf>
    <xf numFmtId="179" fontId="47" fillId="45" borderId="2" xfId="0" applyNumberFormat="1" applyFont="1" applyFill="1" applyBorder="1" applyAlignment="1">
      <alignment horizontal="right" vertical="center"/>
    </xf>
    <xf numFmtId="176" fontId="48" fillId="45" borderId="2" xfId="0" applyNumberFormat="1" applyFont="1" applyFill="1" applyBorder="1" applyAlignment="1">
      <alignment horizontal="right" vertical="center"/>
    </xf>
    <xf numFmtId="0" fontId="0" fillId="45" borderId="2" xfId="0" applyFill="1" applyBorder="1" applyAlignment="1"/>
    <xf numFmtId="0" fontId="13" fillId="45" borderId="2" xfId="0" applyFont="1" applyFill="1" applyBorder="1" applyAlignment="1">
      <alignment horizontal="left" vertical="center"/>
    </xf>
    <xf numFmtId="0" fontId="6" fillId="46" borderId="1" xfId="0" applyFont="1" applyFill="1" applyBorder="1" applyAlignment="1">
      <alignment horizontal="center" vertical="center"/>
    </xf>
    <xf numFmtId="0" fontId="7" fillId="46" borderId="1" xfId="0" applyFont="1" applyFill="1" applyBorder="1" applyAlignment="1">
      <alignment horizontal="center" vertical="center"/>
    </xf>
    <xf numFmtId="0" fontId="9" fillId="47" borderId="2" xfId="0" applyFont="1" applyFill="1" applyBorder="1" applyAlignment="1">
      <alignment horizontal="left" vertical="center"/>
    </xf>
    <xf numFmtId="179" fontId="47" fillId="47" borderId="2" xfId="0" applyNumberFormat="1" applyFont="1" applyFill="1" applyBorder="1" applyAlignment="1">
      <alignment horizontal="right" vertical="center"/>
    </xf>
    <xf numFmtId="176" fontId="48" fillId="47" borderId="2" xfId="0" applyNumberFormat="1" applyFont="1" applyFill="1" applyBorder="1" applyAlignment="1">
      <alignment horizontal="right" vertical="center"/>
    </xf>
    <xf numFmtId="0" fontId="0" fillId="47" borderId="2" xfId="0" applyFill="1" applyBorder="1" applyAlignment="1"/>
    <xf numFmtId="0" fontId="13" fillId="47" borderId="2" xfId="0" applyFont="1" applyFill="1" applyBorder="1" applyAlignment="1">
      <alignment horizontal="left" vertical="center"/>
    </xf>
    <xf numFmtId="0" fontId="6" fillId="48" borderId="1" xfId="0" applyFont="1" applyFill="1" applyBorder="1" applyAlignment="1">
      <alignment horizontal="center" vertical="center"/>
    </xf>
    <xf numFmtId="0" fontId="7" fillId="48" borderId="1" xfId="0" applyFont="1" applyFill="1" applyBorder="1" applyAlignment="1">
      <alignment horizontal="center" vertical="center"/>
    </xf>
    <xf numFmtId="0" fontId="9" fillId="49" borderId="2" xfId="0" applyFont="1" applyFill="1" applyBorder="1" applyAlignment="1">
      <alignment horizontal="left" vertical="center"/>
    </xf>
    <xf numFmtId="179" fontId="47" fillId="49" borderId="2" xfId="0" applyNumberFormat="1" applyFont="1" applyFill="1" applyBorder="1" applyAlignment="1">
      <alignment horizontal="right" vertical="center"/>
    </xf>
    <xf numFmtId="176" fontId="48" fillId="49" borderId="2" xfId="0" applyNumberFormat="1" applyFont="1" applyFill="1" applyBorder="1" applyAlignment="1">
      <alignment horizontal="right" vertical="center"/>
    </xf>
    <xf numFmtId="0" fontId="0" fillId="49" borderId="2" xfId="0" applyFill="1" applyBorder="1" applyAlignment="1"/>
    <xf numFmtId="0" fontId="13" fillId="49" borderId="2" xfId="0" applyFont="1" applyFill="1" applyBorder="1" applyAlignment="1">
      <alignment horizontal="left" vertical="center"/>
    </xf>
    <xf numFmtId="0" fontId="6" fillId="50" borderId="1" xfId="0" applyFont="1" applyFill="1" applyBorder="1" applyAlignment="1">
      <alignment horizontal="center" vertical="center"/>
    </xf>
    <xf numFmtId="0" fontId="7" fillId="50" borderId="1" xfId="0" applyFont="1" applyFill="1" applyBorder="1" applyAlignment="1">
      <alignment horizontal="center" vertical="center"/>
    </xf>
    <xf numFmtId="0" fontId="0" fillId="51" borderId="2" xfId="0" applyFill="1" applyBorder="1" applyAlignment="1"/>
    <xf numFmtId="0" fontId="6" fillId="52" borderId="1" xfId="0" applyFont="1" applyFill="1" applyBorder="1" applyAlignment="1">
      <alignment horizontal="center" vertical="center"/>
    </xf>
    <xf numFmtId="0" fontId="7" fillId="52" borderId="1" xfId="0" applyFont="1" applyFill="1" applyBorder="1" applyAlignment="1">
      <alignment horizontal="center" vertical="center"/>
    </xf>
    <xf numFmtId="0" fontId="9" fillId="53" borderId="2" xfId="0" applyFont="1" applyFill="1" applyBorder="1" applyAlignment="1">
      <alignment horizontal="left" vertical="center"/>
    </xf>
    <xf numFmtId="179" fontId="47" fillId="53" borderId="2" xfId="0" applyNumberFormat="1" applyFont="1" applyFill="1" applyBorder="1" applyAlignment="1">
      <alignment horizontal="right" vertical="center"/>
    </xf>
    <xf numFmtId="176" fontId="48" fillId="53" borderId="2" xfId="0" applyNumberFormat="1" applyFont="1" applyFill="1" applyBorder="1" applyAlignment="1">
      <alignment horizontal="right" vertical="center"/>
    </xf>
    <xf numFmtId="0" fontId="0" fillId="53" borderId="2" xfId="0" applyFill="1" applyBorder="1" applyAlignment="1"/>
    <xf numFmtId="0" fontId="6" fillId="54" borderId="1" xfId="0" applyFont="1" applyFill="1" applyBorder="1" applyAlignment="1">
      <alignment horizontal="center" vertical="center"/>
    </xf>
    <xf numFmtId="0" fontId="7" fillId="54" borderId="1" xfId="0" applyFont="1" applyFill="1" applyBorder="1" applyAlignment="1">
      <alignment horizontal="center" vertical="center"/>
    </xf>
    <xf numFmtId="0" fontId="52" fillId="30" borderId="5" xfId="0" applyFont="1" applyFill="1" applyBorder="1" applyAlignment="1">
      <alignment horizontal="left" vertical="center"/>
    </xf>
    <xf numFmtId="0" fontId="9" fillId="55" borderId="2" xfId="0" applyFont="1" applyFill="1" applyBorder="1" applyAlignment="1">
      <alignment horizontal="left" vertical="center"/>
    </xf>
    <xf numFmtId="179" fontId="47" fillId="55" borderId="2" xfId="0" applyNumberFormat="1" applyFont="1" applyFill="1" applyBorder="1" applyAlignment="1">
      <alignment horizontal="right" vertical="center"/>
    </xf>
    <xf numFmtId="176" fontId="48" fillId="55" borderId="2" xfId="0" applyNumberFormat="1" applyFont="1" applyFill="1" applyBorder="1" applyAlignment="1">
      <alignment horizontal="right" vertical="center"/>
    </xf>
    <xf numFmtId="0" fontId="0" fillId="55" borderId="2" xfId="0" applyFill="1" applyBorder="1" applyAlignment="1"/>
    <xf numFmtId="0" fontId="6" fillId="56" borderId="1" xfId="0" applyFont="1" applyFill="1" applyBorder="1" applyAlignment="1">
      <alignment horizontal="center" vertical="center"/>
    </xf>
    <xf numFmtId="0" fontId="7" fillId="56" borderId="1" xfId="0" applyFont="1" applyFill="1" applyBorder="1" applyAlignment="1">
      <alignment horizontal="center" vertical="center"/>
    </xf>
    <xf numFmtId="178" fontId="8" fillId="23" borderId="2" xfId="0" applyNumberFormat="1" applyFont="1" applyFill="1" applyBorder="1" applyAlignment="1">
      <alignment horizontal="right" vertical="center"/>
    </xf>
    <xf numFmtId="176" fontId="8" fillId="2" borderId="2" xfId="0" applyNumberFormat="1" applyFont="1" applyFill="1" applyBorder="1" applyAlignment="1">
      <alignment horizontal="right" vertical="center"/>
    </xf>
    <xf numFmtId="0" fontId="8" fillId="57" borderId="2" xfId="0" applyFont="1" applyFill="1" applyBorder="1" applyAlignment="1">
      <alignment horizontal="center" vertical="center"/>
    </xf>
    <xf numFmtId="0" fontId="9" fillId="57" borderId="2" xfId="0" applyFont="1" applyFill="1" applyBorder="1" applyAlignment="1">
      <alignment horizontal="left" vertical="center"/>
    </xf>
    <xf numFmtId="3" fontId="8" fillId="57" borderId="2" xfId="0" applyNumberFormat="1" applyFont="1" applyFill="1" applyBorder="1" applyAlignment="1">
      <alignment horizontal="right" vertical="center"/>
    </xf>
    <xf numFmtId="176" fontId="8" fillId="57" borderId="2" xfId="0" applyNumberFormat="1" applyFont="1" applyFill="1" applyBorder="1" applyAlignment="1">
      <alignment horizontal="right" vertical="center"/>
    </xf>
    <xf numFmtId="0" fontId="8" fillId="57" borderId="2" xfId="0" applyFont="1" applyFill="1" applyBorder="1" applyAlignment="1">
      <alignment horizontal="left" vertical="center"/>
    </xf>
    <xf numFmtId="0" fontId="56" fillId="58" borderId="7" xfId="0" applyFont="1" applyFill="1" applyBorder="1" applyAlignment="1">
      <alignment horizontal="center" vertical="center"/>
    </xf>
    <xf numFmtId="0" fontId="57" fillId="58" borderId="7" xfId="0" applyFont="1" applyFill="1" applyBorder="1" applyAlignment="1">
      <alignment horizontal="center" vertical="center"/>
    </xf>
    <xf numFmtId="0" fontId="0" fillId="58" borderId="0" xfId="0" applyFill="1" applyAlignment="1"/>
    <xf numFmtId="0" fontId="25" fillId="21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vertical="center"/>
    </xf>
    <xf numFmtId="0" fontId="25" fillId="57" borderId="2" xfId="0" applyFont="1" applyFill="1" applyBorder="1" applyAlignment="1">
      <alignment horizontal="left" vertical="center"/>
    </xf>
    <xf numFmtId="0" fontId="0" fillId="57" borderId="2" xfId="0" applyFill="1" applyBorder="1" applyAlignment="1"/>
    <xf numFmtId="0" fontId="13" fillId="57" borderId="2" xfId="0" applyFont="1" applyFill="1" applyBorder="1" applyAlignment="1">
      <alignment horizontal="left" vertical="center"/>
    </xf>
    <xf numFmtId="180" fontId="60" fillId="56" borderId="7" xfId="0" applyNumberFormat="1" applyFont="1" applyFill="1" applyBorder="1" applyAlignment="1">
      <alignment horizontal="center" vertical="center"/>
    </xf>
    <xf numFmtId="3" fontId="61" fillId="57" borderId="7" xfId="0" applyNumberFormat="1" applyFont="1" applyFill="1" applyBorder="1" applyAlignment="1">
      <alignment horizontal="right" vertical="center"/>
    </xf>
    <xf numFmtId="0" fontId="0" fillId="0" borderId="7" xfId="0" applyBorder="1" applyAlignment="1"/>
    <xf numFmtId="0" fontId="63" fillId="2" borderId="2" xfId="0" applyFont="1" applyFill="1" applyBorder="1" applyAlignment="1">
      <alignment horizontal="left" vertical="center"/>
    </xf>
    <xf numFmtId="0" fontId="64" fillId="2" borderId="2" xfId="0" applyFont="1" applyFill="1" applyBorder="1" applyAlignment="1">
      <alignment horizontal="left" vertical="center"/>
    </xf>
    <xf numFmtId="180" fontId="6" fillId="56" borderId="7" xfId="0" applyNumberFormat="1" applyFont="1" applyFill="1" applyBorder="1" applyAlignment="1">
      <alignment horizontal="center" vertical="center"/>
    </xf>
    <xf numFmtId="180" fontId="56" fillId="56" borderId="7" xfId="0" applyNumberFormat="1" applyFont="1" applyFill="1" applyBorder="1" applyAlignment="1">
      <alignment horizontal="center" vertical="center"/>
    </xf>
    <xf numFmtId="3" fontId="0" fillId="2" borderId="0" xfId="0" applyNumberFormat="1" applyFill="1" applyAlignment="1"/>
    <xf numFmtId="3" fontId="65" fillId="59" borderId="0" xfId="0" applyNumberFormat="1" applyFont="1" applyFill="1" applyAlignment="1">
      <alignment horizontal="right" vertical="center"/>
    </xf>
    <xf numFmtId="0" fontId="7" fillId="18" borderId="0" xfId="0" applyFont="1" applyFill="1" applyBorder="1" applyAlignment="1">
      <alignment horizontal="left" vertical="center"/>
    </xf>
    <xf numFmtId="0" fontId="7" fillId="19" borderId="0" xfId="0" applyFont="1" applyFill="1" applyBorder="1" applyAlignment="1">
      <alignment horizontal="left" vertical="center"/>
    </xf>
    <xf numFmtId="0" fontId="15" fillId="20" borderId="0" xfId="0" applyFont="1" applyFill="1" applyBorder="1" applyAlignment="1">
      <alignment horizontal="left" vertical="center"/>
    </xf>
    <xf numFmtId="0" fontId="7" fillId="13" borderId="0" xfId="0" applyFont="1" applyFill="1" applyBorder="1" applyAlignment="1">
      <alignment horizontal="left" vertical="center"/>
    </xf>
    <xf numFmtId="0" fontId="7" fillId="14" borderId="0" xfId="0" applyFont="1" applyFill="1" applyBorder="1" applyAlignment="1">
      <alignment horizontal="left" vertical="center"/>
    </xf>
    <xf numFmtId="0" fontId="7" fillId="15" borderId="0" xfId="0" applyFont="1" applyFill="1" applyBorder="1" applyAlignment="1">
      <alignment horizontal="left" vertical="center"/>
    </xf>
    <xf numFmtId="0" fontId="7" fillId="16" borderId="0" xfId="0" applyFont="1" applyFill="1" applyBorder="1" applyAlignment="1">
      <alignment horizontal="left" vertical="center"/>
    </xf>
    <xf numFmtId="0" fontId="7" fillId="17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0" fontId="7" fillId="1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0" fillId="3" borderId="0" xfId="0" applyFill="1" applyBorder="1" applyAlignment="1"/>
    <xf numFmtId="0" fontId="0" fillId="4" borderId="0" xfId="0" applyFill="1" applyBorder="1" applyAlignment="1"/>
    <xf numFmtId="0" fontId="0" fillId="5" borderId="0" xfId="0" applyFill="1" applyBorder="1" applyAlignment="1"/>
    <xf numFmtId="0" fontId="0" fillId="6" borderId="0" xfId="0" applyFill="1" applyBorder="1" applyAlignment="1"/>
    <xf numFmtId="0" fontId="1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left" vertical="center"/>
    </xf>
    <xf numFmtId="0" fontId="18" fillId="21" borderId="0" xfId="0" applyFont="1" applyFill="1" applyBorder="1" applyAlignment="1">
      <alignment horizontal="left" vertical="center"/>
    </xf>
    <xf numFmtId="0" fontId="5" fillId="27" borderId="0" xfId="0" applyFont="1" applyFill="1" applyBorder="1" applyAlignment="1">
      <alignment horizontal="left" vertical="center"/>
    </xf>
    <xf numFmtId="0" fontId="16" fillId="5" borderId="0" xfId="0" applyFont="1" applyFill="1" applyBorder="1" applyAlignment="1">
      <alignment horizontal="left" vertical="center"/>
    </xf>
    <xf numFmtId="0" fontId="22" fillId="25" borderId="0" xfId="0" applyFont="1" applyFill="1" applyBorder="1" applyAlignment="1">
      <alignment horizontal="left" vertical="center"/>
    </xf>
    <xf numFmtId="0" fontId="23" fillId="5" borderId="0" xfId="0" applyFont="1" applyFill="1" applyBorder="1" applyAlignment="1">
      <alignment horizontal="left" vertical="center"/>
    </xf>
    <xf numFmtId="0" fontId="33" fillId="26" borderId="4" xfId="0" applyFont="1" applyFill="1" applyBorder="1" applyAlignment="1">
      <alignment horizontal="center" vertical="center"/>
    </xf>
    <xf numFmtId="0" fontId="49" fillId="34" borderId="0" xfId="0" applyFont="1" applyFill="1" applyBorder="1" applyAlignment="1">
      <alignment horizontal="left" vertical="center"/>
    </xf>
    <xf numFmtId="0" fontId="12" fillId="31" borderId="0" xfId="0" applyFont="1" applyFill="1" applyBorder="1" applyAlignment="1">
      <alignment horizontal="left" vertical="center"/>
    </xf>
    <xf numFmtId="0" fontId="37" fillId="29" borderId="0" xfId="0" applyFont="1" applyFill="1" applyBorder="1" applyAlignment="1">
      <alignment horizontal="left" vertical="center"/>
    </xf>
    <xf numFmtId="0" fontId="39" fillId="30" borderId="0" xfId="0" applyFont="1" applyFill="1" applyBorder="1" applyAlignment="1">
      <alignment horizontal="left" vertical="center"/>
    </xf>
    <xf numFmtId="0" fontId="37" fillId="36" borderId="0" xfId="0" applyFont="1" applyFill="1" applyBorder="1" applyAlignment="1">
      <alignment horizontal="left" vertical="center"/>
    </xf>
    <xf numFmtId="0" fontId="37" fillId="38" borderId="0" xfId="0" applyFont="1" applyFill="1" applyBorder="1" applyAlignment="1">
      <alignment horizontal="left" vertical="center"/>
    </xf>
    <xf numFmtId="0" fontId="37" fillId="40" borderId="0" xfId="0" applyFont="1" applyFill="1" applyBorder="1" applyAlignment="1">
      <alignment horizontal="left" vertical="center"/>
    </xf>
    <xf numFmtId="0" fontId="37" fillId="42" borderId="0" xfId="0" applyFont="1" applyFill="1" applyBorder="1" applyAlignment="1">
      <alignment horizontal="left" vertical="center"/>
    </xf>
    <xf numFmtId="0" fontId="37" fillId="44" borderId="0" xfId="0" applyFont="1" applyFill="1" applyBorder="1" applyAlignment="1">
      <alignment horizontal="left" vertical="center"/>
    </xf>
    <xf numFmtId="0" fontId="37" fillId="46" borderId="0" xfId="0" applyFont="1" applyFill="1" applyBorder="1" applyAlignment="1">
      <alignment horizontal="left" vertical="center"/>
    </xf>
    <xf numFmtId="0" fontId="37" fillId="48" borderId="0" xfId="0" applyFont="1" applyFill="1" applyBorder="1" applyAlignment="1">
      <alignment horizontal="left" vertical="center"/>
    </xf>
    <xf numFmtId="0" fontId="37" fillId="50" borderId="0" xfId="0" applyFont="1" applyFill="1" applyBorder="1" applyAlignment="1">
      <alignment horizontal="left" vertical="center"/>
    </xf>
    <xf numFmtId="0" fontId="37" fillId="52" borderId="0" xfId="0" applyFont="1" applyFill="1" applyBorder="1" applyAlignment="1">
      <alignment horizontal="left" vertical="center"/>
    </xf>
    <xf numFmtId="0" fontId="37" fillId="54" borderId="0" xfId="0" applyFont="1" applyFill="1" applyBorder="1" applyAlignment="1">
      <alignment horizontal="left" vertical="center"/>
    </xf>
    <xf numFmtId="0" fontId="59" fillId="57" borderId="7" xfId="0" applyFont="1" applyFill="1" applyBorder="1" applyAlignment="1">
      <alignment horizontal="center" vertical="center"/>
    </xf>
    <xf numFmtId="0" fontId="54" fillId="57" borderId="6" xfId="0" applyFont="1" applyFill="1" applyBorder="1" applyAlignment="1">
      <alignment horizontal="left" vertical="center"/>
    </xf>
    <xf numFmtId="0" fontId="55" fillId="57" borderId="6" xfId="0" applyFont="1" applyFill="1" applyBorder="1" applyAlignment="1">
      <alignment horizontal="center" vertical="center"/>
    </xf>
    <xf numFmtId="0" fontId="37" fillId="56" borderId="0" xfId="0" applyFont="1" applyFill="1" applyBorder="1" applyAlignment="1">
      <alignment horizontal="left" vertical="center"/>
    </xf>
    <xf numFmtId="0" fontId="5" fillId="56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8" fillId="24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8" fillId="22" borderId="8" xfId="0" applyNumberFormat="1" applyFont="1" applyFill="1" applyBorder="1" applyAlignment="1">
      <alignment horizontal="right" vertical="center"/>
    </xf>
    <xf numFmtId="177" fontId="8" fillId="24" borderId="8" xfId="0" applyNumberFormat="1" applyFont="1" applyFill="1" applyBorder="1" applyAlignment="1">
      <alignment horizontal="right" vertical="center"/>
    </xf>
    <xf numFmtId="3" fontId="8" fillId="24" borderId="8" xfId="0" applyNumberFormat="1" applyFont="1" applyFill="1" applyBorder="1" applyAlignment="1">
      <alignment horizontal="right" vertical="center"/>
    </xf>
    <xf numFmtId="178" fontId="20" fillId="23" borderId="8" xfId="0" applyNumberFormat="1" applyFont="1" applyFill="1" applyBorder="1" applyAlignment="1">
      <alignment horizontal="right" vertical="center"/>
    </xf>
    <xf numFmtId="177" fontId="8" fillId="2" borderId="8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32F2F"/>
      <rgbColor rgb="FFEEF3FA"/>
      <rgbColor rgb="FFFDEDED"/>
      <rgbColor rgb="FFFEF6E0"/>
      <rgbColor rgb="FFD94F00"/>
      <rgbColor rgb="FFEBF5F2"/>
      <rgbColor rgb="FF840000"/>
      <rgbColor rgb="FF414E53"/>
      <rgbColor rgb="FF783600"/>
      <rgbColor rgb="FF8A5E1A"/>
      <rgbColor rgb="FF701E9D"/>
      <rgbColor rgb="FF1A6965"/>
      <rgbColor rgb="FFAABBD0"/>
      <rgbColor rgb="FF937D70"/>
      <rgbColor rgb="FFF0E7F6"/>
      <rgbColor rgb="FF9C27B0"/>
      <rgbColor rgb="FFFFF8E2"/>
      <rgbColor rgb="FFE1F5FE"/>
      <rgbColor rgb="FF4D1A79"/>
      <rgbColor rgb="FFC47A1E"/>
      <rgbColor rgb="FF037DC5"/>
      <rgbColor rgb="FFD0D7E3"/>
      <rgbColor rgb="FFFDF0E8"/>
      <rgbColor rgb="FFFEEBEE"/>
      <rgbColor rgb="FFFDF0E0"/>
      <rgbColor rgb="FFECF9EC"/>
      <rgbColor rgb="FF8B0000"/>
      <rgbColor rgb="FF890000"/>
      <rgbColor rgb="FF1E734A"/>
      <rgbColor rgb="FFF0F4F9"/>
      <rgbColor rgb="FFECF0F8"/>
      <rgbColor rgb="FFE5F4FA"/>
      <rgbColor rgb="FFE8F5E9"/>
      <rgbColor rgb="FFFFFF99"/>
      <rgbColor rgb="FFDCE9F7"/>
      <rgbColor rgb="FFECE2F5"/>
      <rgbColor rgb="FFDDEAF8"/>
      <rgbColor rgb="FFE7CAC3"/>
      <rgbColor rgb="FF2889AD"/>
      <rgbColor rgb="FFECEFF1"/>
      <rgbColor rgb="FFEFEBE9"/>
      <rgbColor rgb="FFFFE8E0"/>
      <rgbColor rgb="FFD4A017"/>
      <rgbColor rgb="FFE8763A"/>
      <rgbColor rgb="FF5D6A71"/>
      <rgbColor rgb="FFB8860B"/>
      <rgbColor rgb="FF1C3557"/>
      <rgbColor rgb="FF3E9C42"/>
      <rgbColor rgb="FF144B73"/>
      <rgbColor rgb="FF1A1A1A"/>
      <rgbColor rgb="FFA04010"/>
      <rgbColor rgb="FFB71C1C"/>
      <rgbColor rgb="FF1C3555"/>
      <rgbColor rgb="FF1C35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3557"/>
  </sheetPr>
  <dimension ref="A1:L113"/>
  <sheetViews>
    <sheetView showGridLines="0" zoomScaleNormal="100" workbookViewId="0">
      <pane xSplit="1" ySplit="11" topLeftCell="B21" activePane="bottomRight" state="frozen"/>
      <selection pane="topRight" activeCell="B1" sqref="B1"/>
      <selection pane="bottomLeft" activeCell="A12" sqref="A12"/>
      <selection pane="bottomRight" activeCell="H6" sqref="H6:K6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14" style="1" customWidth="1"/>
    <col min="5" max="7" width="12" style="1" customWidth="1"/>
    <col min="8" max="8" width="13" style="1" customWidth="1"/>
    <col min="9" max="9" width="11" style="1" customWidth="1"/>
    <col min="10" max="11" width="13" style="1" customWidth="1"/>
    <col min="12" max="12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3.5" customHeight="1">
      <c r="B2" s="191" t="s">
        <v>0</v>
      </c>
      <c r="C2" s="191"/>
      <c r="D2" s="191"/>
      <c r="E2" s="191"/>
      <c r="F2" s="191"/>
      <c r="G2" s="191"/>
      <c r="H2" s="191"/>
      <c r="I2" s="191"/>
      <c r="J2" s="191"/>
      <c r="K2" s="191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6" customHeight="1"/>
    <row r="5" spans="2:11" ht="15.75" customHeight="1">
      <c r="B5" s="192" t="s">
        <v>1</v>
      </c>
      <c r="C5" s="192"/>
      <c r="D5" s="193" t="s">
        <v>2</v>
      </c>
      <c r="E5" s="193"/>
      <c r="F5" s="194" t="s">
        <v>3</v>
      </c>
      <c r="G5" s="194"/>
      <c r="H5" s="195" t="s">
        <v>4</v>
      </c>
      <c r="I5" s="195"/>
      <c r="J5" s="195"/>
      <c r="K5" s="195"/>
    </row>
    <row r="6" spans="2:11" ht="27.75" customHeight="1">
      <c r="B6" s="183">
        <f>COUNTA(C12:C111)-COUNTBLANK(C12:C111)</f>
        <v>78</v>
      </c>
      <c r="C6" s="183"/>
      <c r="D6" s="184" t="str">
        <f>IFERROR(AVERAGEIF(F12:F111,"&gt;0",IF(E12:E111&gt;0,F12:F111/E12:E111,0)),"–")</f>
        <v>–</v>
      </c>
      <c r="E6" s="184"/>
      <c r="F6" s="185">
        <f>IFERROR(AVERAGEIF(H12:H111,"&gt;0",I12:I111),"–")</f>
        <v>0.56775968037765823</v>
      </c>
      <c r="G6" s="185"/>
      <c r="H6" s="186" t="str">
        <f>IFERROR("✅"&amp;COUNTIF(K12:K111,"*양호*")&amp;"  🟡"&amp;COUNTIF(K12:K111,"*주의*")&amp;"  🔴"&amp;COUNTIF(K12:K111,"*과다*"),"–")</f>
        <v>✅0  🟡0  🔴89</v>
      </c>
      <c r="I6" s="186"/>
      <c r="J6" s="186"/>
      <c r="K6" s="186"/>
    </row>
    <row r="7" spans="2:11" ht="18" customHeight="1">
      <c r="B7" s="187"/>
      <c r="C7" s="187"/>
      <c r="D7" s="188"/>
      <c r="E7" s="188"/>
      <c r="F7" s="189"/>
      <c r="G7" s="189"/>
      <c r="H7" s="190"/>
      <c r="I7" s="190"/>
      <c r="J7" s="190"/>
      <c r="K7" s="190"/>
    </row>
    <row r="8" spans="2:11" ht="6" customHeight="1"/>
    <row r="9" spans="2:11" ht="9.75" customHeight="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25.5" customHeight="1">
      <c r="B10" s="178" t="s">
        <v>5</v>
      </c>
      <c r="C10" s="178"/>
      <c r="D10" s="178"/>
      <c r="E10" s="178"/>
      <c r="F10" s="178"/>
      <c r="G10" s="178"/>
      <c r="H10" s="178"/>
      <c r="I10" s="178"/>
      <c r="J10" s="178"/>
      <c r="K10" s="178"/>
    </row>
    <row r="11" spans="2:11" ht="21.75" customHeight="1">
      <c r="B11" s="3" t="s">
        <v>6</v>
      </c>
      <c r="C11" s="4" t="s">
        <v>7</v>
      </c>
      <c r="D11" s="4" t="s">
        <v>8</v>
      </c>
      <c r="E11" s="4" t="s">
        <v>9</v>
      </c>
      <c r="F11" s="4" t="s">
        <v>10</v>
      </c>
      <c r="G11" s="4" t="s">
        <v>11</v>
      </c>
      <c r="H11" s="4" t="s">
        <v>12</v>
      </c>
      <c r="I11" s="4" t="s">
        <v>13</v>
      </c>
      <c r="J11" s="4" t="s">
        <v>14</v>
      </c>
      <c r="K11" s="4" t="s">
        <v>15</v>
      </c>
    </row>
    <row r="12" spans="2:11" ht="15.75" customHeight="1">
      <c r="B12" s="179" t="s">
        <v>16</v>
      </c>
      <c r="C12" s="179"/>
      <c r="D12" s="179"/>
      <c r="E12" s="179"/>
      <c r="F12" s="179"/>
      <c r="G12" s="179"/>
      <c r="H12" s="179"/>
      <c r="I12" s="179"/>
      <c r="J12" s="179"/>
      <c r="K12" s="179"/>
    </row>
    <row r="13" spans="2:11" ht="18" customHeight="1">
      <c r="B13" s="5">
        <v>1</v>
      </c>
      <c r="C13" s="6" t="s">
        <v>17</v>
      </c>
      <c r="D13" s="7" t="s">
        <v>18</v>
      </c>
      <c r="E13" s="8">
        <f>'🍗 닭고기 커리'!E8</f>
        <v>13000</v>
      </c>
      <c r="F13" s="8">
        <f>'🍗 닭고기 커리'!F8</f>
        <v>1734.246972934473</v>
      </c>
      <c r="G13" s="8">
        <f>'🍗 닭고기 커리'!G8</f>
        <v>8583.8618577410598</v>
      </c>
      <c r="H13" s="8">
        <f>'🍗 닭고기 커리'!H8</f>
        <v>6849.6148848065868</v>
      </c>
      <c r="I13" s="9">
        <f>'🍗 닭고기 커리'!I8</f>
        <v>0.52689345267742971</v>
      </c>
      <c r="J13" s="8">
        <f>IFERROR('🍗 닭고기 커리'!E8-'🍗 닭고기 커리'!H8,"")</f>
        <v>6150.3851151934132</v>
      </c>
      <c r="K13" s="10" t="str">
        <f>'🍗 닭고기 커리'!J8</f>
        <v>🔴 과다</v>
      </c>
    </row>
    <row r="14" spans="2:11" ht="18" customHeight="1">
      <c r="B14" s="11">
        <v>2</v>
      </c>
      <c r="C14" s="12" t="s">
        <v>19</v>
      </c>
      <c r="D14" s="13" t="s">
        <v>18</v>
      </c>
      <c r="E14" s="14">
        <f>'🍗 닭고기 커리'!E29</f>
        <v>12000</v>
      </c>
      <c r="F14" s="14">
        <f>'🍗 닭고기 커리'!F29</f>
        <v>1558.0247507122508</v>
      </c>
      <c r="G14" s="14">
        <f>'🍗 닭고기 커리'!G29</f>
        <v>7923.5647917609776</v>
      </c>
      <c r="H14" s="14">
        <f>'🍗 닭고기 커리'!H29</f>
        <v>6365.5400410487273</v>
      </c>
      <c r="I14" s="15">
        <f>'🍗 닭고기 커리'!I29</f>
        <v>0.53046167008739398</v>
      </c>
      <c r="J14" s="14">
        <f>IFERROR('🍗 닭고기 커리'!E29-'🍗 닭고기 커리'!H29,"")</f>
        <v>5634.4599589512727</v>
      </c>
      <c r="K14" s="16" t="str">
        <f>'🍗 닭고기 커리'!J29</f>
        <v>🔴 과다</v>
      </c>
    </row>
    <row r="15" spans="2:11" ht="18" customHeight="1">
      <c r="B15" s="5">
        <v>3</v>
      </c>
      <c r="C15" s="6" t="s">
        <v>20</v>
      </c>
      <c r="D15" s="7" t="s">
        <v>18</v>
      </c>
      <c r="E15" s="8">
        <f>'🍗 닭고기 커리'!E50</f>
        <v>12000</v>
      </c>
      <c r="F15" s="8">
        <f>'🍗 닭고기 커리'!F50</f>
        <v>1859.4382122507122</v>
      </c>
      <c r="G15" s="8">
        <f>'🍗 닭고기 커리'!G50</f>
        <v>7923.5647917609776</v>
      </c>
      <c r="H15" s="8">
        <f>'🍗 닭고기 커리'!H50</f>
        <v>6064.1265795102654</v>
      </c>
      <c r="I15" s="9">
        <f>'🍗 닭고기 커리'!I50</f>
        <v>0.50534388162585542</v>
      </c>
      <c r="J15" s="8">
        <f>IFERROR('🍗 닭고기 커리'!E50-'🍗 닭고기 커리'!H50,"")</f>
        <v>5935.8734204897346</v>
      </c>
      <c r="K15" s="10" t="str">
        <f>'🍗 닭고기 커리'!J50</f>
        <v>🔴 과다</v>
      </c>
    </row>
    <row r="16" spans="2:11" ht="18" customHeight="1">
      <c r="B16" s="11">
        <v>4</v>
      </c>
      <c r="C16" s="12" t="s">
        <v>21</v>
      </c>
      <c r="D16" s="13" t="s">
        <v>18</v>
      </c>
      <c r="E16" s="14">
        <f>'🍗 닭고기 커리'!E71</f>
        <v>13000</v>
      </c>
      <c r="F16" s="14">
        <f>'🍗 닭고기 커리'!F71</f>
        <v>1125.1148504273503</v>
      </c>
      <c r="G16" s="14">
        <f>'🍗 닭고기 커리'!G71</f>
        <v>8583.8618577410598</v>
      </c>
      <c r="H16" s="14">
        <f>'🍗 닭고기 커리'!H71</f>
        <v>7458.7470073137092</v>
      </c>
      <c r="I16" s="15">
        <f>'🍗 닭고기 커리'!I71</f>
        <v>0.57374976979336223</v>
      </c>
      <c r="J16" s="14">
        <f>IFERROR('🍗 닭고기 커리'!E71-'🍗 닭고기 커리'!H71,"")</f>
        <v>5541.2529926862908</v>
      </c>
      <c r="K16" s="16" t="str">
        <f>'🍗 닭고기 커리'!J71</f>
        <v>🔴 과다</v>
      </c>
    </row>
    <row r="17" spans="2:11" ht="18" customHeight="1">
      <c r="B17" s="5">
        <v>5</v>
      </c>
      <c r="C17" s="6" t="s">
        <v>22</v>
      </c>
      <c r="D17" s="7" t="s">
        <v>18</v>
      </c>
      <c r="E17" s="8">
        <f>'🍗 닭고기 커리'!E92</f>
        <v>13000</v>
      </c>
      <c r="F17" s="8">
        <f>'🍗 닭고기 커리'!F92</f>
        <v>2570.287126068376</v>
      </c>
      <c r="G17" s="8">
        <f>'🍗 닭고기 커리'!G92</f>
        <v>8583.8618577410598</v>
      </c>
      <c r="H17" s="8">
        <f>'🍗 닭고기 커리'!H92</f>
        <v>6013.5747316726838</v>
      </c>
      <c r="I17" s="9">
        <f>'🍗 닭고기 커리'!I92</f>
        <v>0.46258267166712952</v>
      </c>
      <c r="J17" s="8">
        <f>IFERROR('🍗 닭고기 커리'!E92-'🍗 닭고기 커리'!H92,"")</f>
        <v>6986.4252683273162</v>
      </c>
      <c r="K17" s="10" t="str">
        <f>'🍗 닭고기 커리'!J92</f>
        <v>🔴 과다</v>
      </c>
    </row>
    <row r="18" spans="2:11" ht="18" customHeight="1">
      <c r="B18" s="11">
        <v>6</v>
      </c>
      <c r="C18" s="12" t="s">
        <v>23</v>
      </c>
      <c r="D18" s="13" t="s">
        <v>18</v>
      </c>
      <c r="E18" s="14">
        <f>'🍗 닭고기 커리'!E113</f>
        <v>14000</v>
      </c>
      <c r="F18" s="14">
        <f>'🍗 닭고기 커리'!F113</f>
        <v>648.03404745838952</v>
      </c>
      <c r="G18" s="14">
        <f>'🍗 닭고기 커리'!G113</f>
        <v>9244.158923721141</v>
      </c>
      <c r="H18" s="14">
        <f>'🍗 닭고기 커리'!H113</f>
        <v>8596.1248762627511</v>
      </c>
      <c r="I18" s="15">
        <f>'🍗 닭고기 커리'!I113</f>
        <v>0.6140089197330536</v>
      </c>
      <c r="J18" s="14">
        <f>IFERROR('🍗 닭고기 커리'!E113-'🍗 닭고기 커리'!H113,"")</f>
        <v>5403.8751237372489</v>
      </c>
      <c r="K18" s="16" t="str">
        <f>'🍗 닭고기 커리'!J113</f>
        <v>🔴 과다</v>
      </c>
    </row>
    <row r="19" spans="2:11" ht="18" customHeight="1">
      <c r="B19" s="5">
        <v>7</v>
      </c>
      <c r="C19" s="6" t="s">
        <v>24</v>
      </c>
      <c r="D19" s="7" t="s">
        <v>18</v>
      </c>
      <c r="E19" s="8">
        <f>'🍗 닭고기 커리'!E134</f>
        <v>13000</v>
      </c>
      <c r="F19" s="8">
        <f>'🍗 닭고기 커리'!F134</f>
        <v>655.13085968039536</v>
      </c>
      <c r="G19" s="8">
        <f>'🍗 닭고기 커리'!G134</f>
        <v>8583.8618577410598</v>
      </c>
      <c r="H19" s="8">
        <f>'🍗 닭고기 커리'!H134</f>
        <v>7928.7309980606642</v>
      </c>
      <c r="I19" s="9">
        <f>'🍗 닭고기 커리'!I134</f>
        <v>0.60990238446620493</v>
      </c>
      <c r="J19" s="8">
        <f>IFERROR('🍗 닭고기 커리'!E134-'🍗 닭고기 커리'!H134,"")</f>
        <v>5071.2690019393358</v>
      </c>
      <c r="K19" s="10" t="str">
        <f>'🍗 닭고기 커리'!J134</f>
        <v>🔴 과다</v>
      </c>
    </row>
    <row r="20" spans="2:11" ht="18" customHeight="1">
      <c r="B20" s="11">
        <v>8</v>
      </c>
      <c r="C20" s="12" t="s">
        <v>25</v>
      </c>
      <c r="D20" s="13" t="s">
        <v>18</v>
      </c>
      <c r="E20" s="14">
        <f>'🍗 닭고기 커리'!E155</f>
        <v>12000</v>
      </c>
      <c r="F20" s="14">
        <f>'🍗 닭고기 커리'!F155</f>
        <v>1880.5555555555554</v>
      </c>
      <c r="G20" s="14">
        <f>'🍗 닭고기 커리'!G155</f>
        <v>7923.5647917609776</v>
      </c>
      <c r="H20" s="14">
        <f>'🍗 닭고기 커리'!H155</f>
        <v>6043.009236205422</v>
      </c>
      <c r="I20" s="15">
        <f>'🍗 닭고기 커리'!I155</f>
        <v>0.50358410301711853</v>
      </c>
      <c r="J20" s="14">
        <f>IFERROR('🍗 닭고기 커리'!E155-'🍗 닭고기 커리'!H155,"")</f>
        <v>5956.990763794578</v>
      </c>
      <c r="K20" s="16" t="str">
        <f>'🍗 닭고기 커리'!J155</f>
        <v>🔴 과다</v>
      </c>
    </row>
    <row r="21" spans="2:11" ht="18" customHeight="1">
      <c r="B21" s="5">
        <v>9</v>
      </c>
      <c r="C21" s="6" t="s">
        <v>26</v>
      </c>
      <c r="D21" s="7" t="s">
        <v>18</v>
      </c>
      <c r="E21" s="8">
        <f>'🍗 닭고기 커리'!E176</f>
        <v>14000</v>
      </c>
      <c r="F21" s="8">
        <f>'🍗 닭고기 커리'!F176</f>
        <v>1767.4136396011395</v>
      </c>
      <c r="G21" s="8">
        <f>'🍗 닭고기 커리'!G176</f>
        <v>9244.158923721141</v>
      </c>
      <c r="H21" s="8">
        <f>'🍗 닭고기 커리'!H176</f>
        <v>7476.7452841200011</v>
      </c>
      <c r="I21" s="9">
        <f>'🍗 닭고기 커리'!I176</f>
        <v>0.53405323458000009</v>
      </c>
      <c r="J21" s="8">
        <f>IFERROR('🍗 닭고기 커리'!E176-'🍗 닭고기 커리'!H176,"")</f>
        <v>6523.2547158799989</v>
      </c>
      <c r="K21" s="10" t="str">
        <f>'🍗 닭고기 커리'!J176</f>
        <v>🔴 과다</v>
      </c>
    </row>
    <row r="22" spans="2:11" ht="18" customHeight="1">
      <c r="B22" s="11">
        <v>10</v>
      </c>
      <c r="C22" s="12" t="s">
        <v>27</v>
      </c>
      <c r="D22" s="13" t="s">
        <v>18</v>
      </c>
      <c r="E22" s="14">
        <f>'🍗 닭고기 커리'!E197</f>
        <v>12000</v>
      </c>
      <c r="F22" s="14">
        <f>'🍗 닭고기 커리'!F197</f>
        <v>1093.3858618233617</v>
      </c>
      <c r="G22" s="14">
        <f>'🍗 닭고기 커리'!G197</f>
        <v>7923.5647917609776</v>
      </c>
      <c r="H22" s="14">
        <f>'🍗 닭고기 커리'!H197</f>
        <v>6830.178929937616</v>
      </c>
      <c r="I22" s="15">
        <f>'🍗 닭고기 커리'!I197</f>
        <v>0.56918157749480136</v>
      </c>
      <c r="J22" s="14">
        <f>IFERROR('🍗 닭고기 커리'!E197-'🍗 닭고기 커리'!H197,"")</f>
        <v>5169.821070062384</v>
      </c>
      <c r="K22" s="16" t="str">
        <f>'🍗 닭고기 커리'!J197</f>
        <v>🔴 과다</v>
      </c>
    </row>
    <row r="23" spans="2:11" ht="18" customHeight="1">
      <c r="B23" s="5">
        <v>73</v>
      </c>
      <c r="C23" s="6" t="s">
        <v>28</v>
      </c>
      <c r="D23" s="7" t="s">
        <v>18</v>
      </c>
      <c r="E23" s="8">
        <f>'🍗 닭고기 커리'!E218</f>
        <v>12000</v>
      </c>
      <c r="F23" s="8">
        <f>'🍗 닭고기 커리'!F218</f>
        <v>1125.1148504273503</v>
      </c>
      <c r="G23" s="8">
        <f>'🍗 닭고기 커리'!G218</f>
        <v>7923.5647917609776</v>
      </c>
      <c r="H23" s="8">
        <f>'🍗 닭고기 커리'!H218</f>
        <v>6798.4499413336271</v>
      </c>
      <c r="I23" s="9">
        <f>'🍗 닭고기 커리'!I218</f>
        <v>0.5665374951111356</v>
      </c>
      <c r="J23" s="8">
        <f>IFERROR('🍗 닭고기 커리'!E218-'🍗 닭고기 커리'!H218,"")</f>
        <v>5201.5500586663729</v>
      </c>
      <c r="K23" s="10" t="str">
        <f>'🍗 닭고기 커리'!J218</f>
        <v>🔴 과다</v>
      </c>
    </row>
    <row r="24" spans="2:11" ht="18" customHeight="1">
      <c r="B24" s="11">
        <v>74</v>
      </c>
      <c r="C24" s="12" t="s">
        <v>29</v>
      </c>
      <c r="D24" s="13" t="s">
        <v>18</v>
      </c>
      <c r="E24" s="14">
        <f>'🍗 닭고기 커리'!E239</f>
        <v>15000</v>
      </c>
      <c r="F24" s="14">
        <f>'🍗 닭고기 커리'!F239</f>
        <v>1093.3858618233617</v>
      </c>
      <c r="G24" s="14">
        <f>'🍗 닭고기 커리'!G239</f>
        <v>9904.4559897012223</v>
      </c>
      <c r="H24" s="14">
        <f>'🍗 닭고기 커리'!H239</f>
        <v>8811.0701278778615</v>
      </c>
      <c r="I24" s="15">
        <f>'🍗 닭고기 커리'!I239</f>
        <v>0.58740467519185746</v>
      </c>
      <c r="J24" s="14">
        <f>IFERROR('🍗 닭고기 커리'!E239-'🍗 닭고기 커리'!H239,"")</f>
        <v>6188.9298721221385</v>
      </c>
      <c r="K24" s="16" t="str">
        <f>'🍗 닭고기 커리'!J239</f>
        <v>🔴 과다</v>
      </c>
    </row>
    <row r="25" spans="2:11" ht="18" customHeight="1">
      <c r="B25" s="5">
        <v>40</v>
      </c>
      <c r="C25" s="6" t="s">
        <v>30</v>
      </c>
      <c r="D25" s="7" t="s">
        <v>18</v>
      </c>
      <c r="E25" s="8">
        <f>'🍗 닭고기 커리'!E260</f>
        <v>11000</v>
      </c>
      <c r="F25" s="8">
        <f>'🍗 닭고기 커리'!F260</f>
        <v>1626.6905602636534</v>
      </c>
      <c r="G25" s="8">
        <f>'🍗 닭고기 커리'!G260</f>
        <v>7263.2677257808964</v>
      </c>
      <c r="H25" s="8">
        <f>'🍗 닭고기 커리'!H260</f>
        <v>5636.577165517243</v>
      </c>
      <c r="I25" s="9">
        <f>'🍗 닭고기 커리'!I260</f>
        <v>0.51241610595611298</v>
      </c>
      <c r="J25" s="8">
        <f>IFERROR('🍗 닭고기 커리'!E260-'🍗 닭고기 커리'!H260,"")</f>
        <v>5363.422834482757</v>
      </c>
      <c r="K25" s="10" t="str">
        <f>'🍗 닭고기 커리'!J260</f>
        <v>🔴 과다</v>
      </c>
    </row>
    <row r="26" spans="2:11" ht="18" customHeight="1">
      <c r="B26" s="11">
        <v>86</v>
      </c>
      <c r="C26" s="12" t="s">
        <v>31</v>
      </c>
      <c r="D26" s="13" t="s">
        <v>18</v>
      </c>
      <c r="E26" s="14">
        <f>'🍗 닭고기 커리'!E285</f>
        <v>14000</v>
      </c>
      <c r="F26" s="14">
        <f>'🍗 닭고기 커리'!F285</f>
        <v>1405.5174360848703</v>
      </c>
      <c r="G26" s="14">
        <f>'🍗 닭고기 커리'!G285</f>
        <v>9244.158923721141</v>
      </c>
      <c r="H26" s="14">
        <f>'🍗 닭고기 커리'!H285</f>
        <v>7838.6414876362705</v>
      </c>
      <c r="I26" s="15">
        <f>'🍗 닭고기 커리'!I285</f>
        <v>0.55990296340259071</v>
      </c>
      <c r="J26" s="14">
        <f>IFERROR('🍗 닭고기 커리'!E285-'🍗 닭고기 커리'!H285,"")</f>
        <v>6161.3585123637295</v>
      </c>
      <c r="K26" s="16" t="str">
        <f>'🍗 닭고기 커리'!J285</f>
        <v>🔴 과다</v>
      </c>
    </row>
    <row r="27" spans="2:11" ht="15.75" customHeight="1">
      <c r="B27" s="180" t="s">
        <v>32</v>
      </c>
      <c r="C27" s="180"/>
      <c r="D27" s="180"/>
      <c r="E27" s="180"/>
      <c r="F27" s="180"/>
      <c r="G27" s="180"/>
      <c r="H27" s="180"/>
      <c r="I27" s="180"/>
      <c r="J27" s="180"/>
      <c r="K27" s="180"/>
    </row>
    <row r="28" spans="2:11" ht="18" customHeight="1">
      <c r="B28" s="5">
        <v>12</v>
      </c>
      <c r="C28" s="6" t="s">
        <v>33</v>
      </c>
      <c r="D28" s="7" t="s">
        <v>34</v>
      </c>
      <c r="E28" s="8">
        <f>'🐑 양고기 커리'!E8</f>
        <v>13000</v>
      </c>
      <c r="F28" s="8">
        <f>'🐑 양고기 커리'!F8</f>
        <v>1868.0247507122508</v>
      </c>
      <c r="G28" s="8">
        <f>'🐑 양고기 커리'!G8</f>
        <v>8583.8618577410598</v>
      </c>
      <c r="H28" s="8">
        <f>'🐑 양고기 커리'!H8</f>
        <v>6715.8371070288085</v>
      </c>
      <c r="I28" s="9">
        <f>'🐑 양고기 커리'!I8</f>
        <v>0.5166028543868314</v>
      </c>
      <c r="J28" s="8">
        <f>IFERROR('🐑 양고기 커리'!E8-'🐑 양고기 커리'!H8,"")</f>
        <v>6284.1628929711915</v>
      </c>
      <c r="K28" s="10" t="str">
        <f>'🐑 양고기 커리'!J8</f>
        <v>🔴 과다</v>
      </c>
    </row>
    <row r="29" spans="2:11" ht="18" customHeight="1">
      <c r="B29" s="11">
        <v>13</v>
      </c>
      <c r="C29" s="12" t="s">
        <v>35</v>
      </c>
      <c r="D29" s="13" t="s">
        <v>34</v>
      </c>
      <c r="E29" s="14">
        <f>'🐑 양고기 커리'!E29</f>
        <v>14000</v>
      </c>
      <c r="F29" s="14">
        <f>'🐑 양고기 커리'!F29</f>
        <v>2135.3997507122508</v>
      </c>
      <c r="G29" s="14">
        <f>'🐑 양고기 커리'!G29</f>
        <v>9244.158923721141</v>
      </c>
      <c r="H29" s="14">
        <f>'🐑 양고기 커리'!H29</f>
        <v>7108.7591730088898</v>
      </c>
      <c r="I29" s="15">
        <f>'🐑 양고기 커리'!I29</f>
        <v>0.50776851235777787</v>
      </c>
      <c r="J29" s="14">
        <f>IFERROR('🐑 양고기 커리'!E29-'🐑 양고기 커리'!H29,"")</f>
        <v>6891.2408269911102</v>
      </c>
      <c r="K29" s="16" t="str">
        <f>'🐑 양고기 커리'!J29</f>
        <v>🔴 과다</v>
      </c>
    </row>
    <row r="30" spans="2:11" ht="18" customHeight="1">
      <c r="B30" s="5">
        <v>14</v>
      </c>
      <c r="C30" s="6" t="s">
        <v>36</v>
      </c>
      <c r="D30" s="7" t="s">
        <v>34</v>
      </c>
      <c r="E30" s="8">
        <f>'🐑 양고기 커리'!E50</f>
        <v>14000</v>
      </c>
      <c r="F30" s="8">
        <f>'🐑 양고기 커리'!F50</f>
        <v>1366.5247507122508</v>
      </c>
      <c r="G30" s="8">
        <f>'🐑 양고기 커리'!G50</f>
        <v>9244.158923721141</v>
      </c>
      <c r="H30" s="8">
        <f>'🐑 양고기 커리'!H50</f>
        <v>7877.6341730088898</v>
      </c>
      <c r="I30" s="9">
        <f>'🐑 양고기 커리'!I50</f>
        <v>0.56268815521492066</v>
      </c>
      <c r="J30" s="8">
        <f>IFERROR('🐑 양고기 커리'!E50-'🐑 양고기 커리'!H50,"")</f>
        <v>6122.3658269911102</v>
      </c>
      <c r="K30" s="10" t="str">
        <f>'🐑 양고기 커리'!J50</f>
        <v>🔴 과다</v>
      </c>
    </row>
    <row r="31" spans="2:11" ht="18" customHeight="1">
      <c r="B31" s="11">
        <v>15</v>
      </c>
      <c r="C31" s="12" t="s">
        <v>37</v>
      </c>
      <c r="D31" s="13" t="s">
        <v>34</v>
      </c>
      <c r="E31" s="14">
        <f>'🐑 양고기 커리'!E71</f>
        <v>14000</v>
      </c>
      <c r="F31" s="14">
        <f>'🐑 양고기 커리'!F71</f>
        <v>1381.0247507122508</v>
      </c>
      <c r="G31" s="14">
        <f>'🐑 양고기 커리'!G71</f>
        <v>9244.158923721141</v>
      </c>
      <c r="H31" s="14">
        <f>'🐑 양고기 커리'!H71</f>
        <v>7863.1341730088898</v>
      </c>
      <c r="I31" s="15">
        <f>'🐑 양고기 커리'!I71</f>
        <v>0.56165244092920641</v>
      </c>
      <c r="J31" s="14">
        <f>IFERROR('🐑 양고기 커리'!E71-'🐑 양고기 커리'!H71,"")</f>
        <v>6136.8658269911102</v>
      </c>
      <c r="K31" s="16" t="str">
        <f>'🐑 양고기 커리'!J71</f>
        <v>🔴 과다</v>
      </c>
    </row>
    <row r="32" spans="2:11" ht="18" customHeight="1">
      <c r="B32" s="5">
        <v>16</v>
      </c>
      <c r="C32" s="6" t="s">
        <v>38</v>
      </c>
      <c r="D32" s="7" t="s">
        <v>34</v>
      </c>
      <c r="E32" s="8">
        <f>'🐑 양고기 커리'!E92</f>
        <v>15000</v>
      </c>
      <c r="F32" s="8">
        <f>'🐑 양고기 커리'!F92</f>
        <v>2297.4136396011395</v>
      </c>
      <c r="G32" s="8">
        <f>'🐑 양고기 커리'!G92</f>
        <v>9904.4559897012223</v>
      </c>
      <c r="H32" s="8">
        <f>'🐑 양고기 커리'!H92</f>
        <v>7607.0423501000823</v>
      </c>
      <c r="I32" s="9">
        <f>'🐑 양고기 커리'!I92</f>
        <v>0.50713615667333878</v>
      </c>
      <c r="J32" s="8">
        <f>IFERROR('🐑 양고기 커리'!E92-'🐑 양고기 커리'!H92,"")</f>
        <v>7392.9576498999177</v>
      </c>
      <c r="K32" s="10" t="str">
        <f>'🐑 양고기 커리'!J92</f>
        <v>🔴 과다</v>
      </c>
    </row>
    <row r="33" spans="2:11" ht="18" customHeight="1">
      <c r="B33" s="11">
        <v>17</v>
      </c>
      <c r="C33" s="12" t="s">
        <v>39</v>
      </c>
      <c r="D33" s="13" t="s">
        <v>34</v>
      </c>
      <c r="E33" s="14">
        <f>'🐑 양고기 커리'!E113</f>
        <v>14000</v>
      </c>
      <c r="F33" s="14">
        <f>'🐑 양고기 커리'!F113</f>
        <v>1170.8753561253561</v>
      </c>
      <c r="G33" s="14">
        <f>'🐑 양고기 커리'!G113</f>
        <v>9244.158923721141</v>
      </c>
      <c r="H33" s="14">
        <f>'🐑 양고기 커리'!H113</f>
        <v>8073.2835675957849</v>
      </c>
      <c r="I33" s="15">
        <f>'🐑 양고기 커리'!I113</f>
        <v>0.57666311197112752</v>
      </c>
      <c r="J33" s="14">
        <f>IFERROR('🐑 양고기 커리'!E113-'🐑 양고기 커리'!H113,"")</f>
        <v>5926.7164324042151</v>
      </c>
      <c r="K33" s="16" t="str">
        <f>'🐑 양고기 커리'!J113</f>
        <v>🔴 과다</v>
      </c>
    </row>
    <row r="34" spans="2:11" ht="18" customHeight="1">
      <c r="B34" s="5">
        <v>75</v>
      </c>
      <c r="C34" s="6" t="s">
        <v>40</v>
      </c>
      <c r="D34" s="7" t="s">
        <v>34</v>
      </c>
      <c r="E34" s="8">
        <f>'🐑 양고기 커리'!E134</f>
        <v>15000</v>
      </c>
      <c r="F34" s="8">
        <f>'🐑 양고기 커리'!F134</f>
        <v>1538.0213213569689</v>
      </c>
      <c r="G34" s="8">
        <f>'🐑 양고기 커리'!G134</f>
        <v>9904.4559897012223</v>
      </c>
      <c r="H34" s="8">
        <f>'🐑 양고기 커리'!H134</f>
        <v>8366.4346683442527</v>
      </c>
      <c r="I34" s="9">
        <f>'🐑 양고기 커리'!I134</f>
        <v>0.55776231122295017</v>
      </c>
      <c r="J34" s="8">
        <f>IFERROR('🐑 양고기 커리'!E134-'🐑 양고기 커리'!H134,"")</f>
        <v>6633.5653316557473</v>
      </c>
      <c r="K34" s="10" t="str">
        <f>'🐑 양고기 커리'!J134</f>
        <v>🔴 과다</v>
      </c>
    </row>
    <row r="35" spans="2:11" ht="15.75" customHeight="1">
      <c r="B35" s="181" t="s">
        <v>41</v>
      </c>
      <c r="C35" s="181"/>
      <c r="D35" s="181"/>
      <c r="E35" s="181"/>
      <c r="F35" s="181"/>
      <c r="G35" s="181"/>
      <c r="H35" s="181"/>
      <c r="I35" s="181"/>
      <c r="J35" s="181"/>
      <c r="K35" s="181"/>
    </row>
    <row r="36" spans="2:11" ht="18" customHeight="1">
      <c r="B36" s="5">
        <v>11</v>
      </c>
      <c r="C36" s="6" t="s">
        <v>42</v>
      </c>
      <c r="D36" s="7" t="s">
        <v>43</v>
      </c>
      <c r="E36" s="8">
        <f>'🥚 에그·해산물 커리'!E8</f>
        <v>11000</v>
      </c>
      <c r="F36" s="8">
        <f>'🥚 에그·해산물 커리'!F8</f>
        <v>1258.0247507122508</v>
      </c>
      <c r="G36" s="8">
        <f>'🥚 에그·해산물 커리'!G8</f>
        <v>7263.2677257808964</v>
      </c>
      <c r="H36" s="8">
        <f>'🥚 에그·해산물 커리'!H8</f>
        <v>6005.242975068646</v>
      </c>
      <c r="I36" s="9">
        <f>'🥚 에그·해산물 커리'!I8</f>
        <v>0.54593117955169512</v>
      </c>
      <c r="J36" s="8">
        <f>IFERROR('🥚 에그·해산물 커리'!E8-'🥚 에그·해산물 커리'!H8,"")</f>
        <v>4994.757024931354</v>
      </c>
      <c r="K36" s="10" t="str">
        <f>'🥚 에그·해산물 커리'!J8</f>
        <v>🔴 과다</v>
      </c>
    </row>
    <row r="37" spans="2:11" ht="18" customHeight="1">
      <c r="B37" s="11">
        <v>18</v>
      </c>
      <c r="C37" s="12" t="s">
        <v>44</v>
      </c>
      <c r="D37" s="13" t="s">
        <v>43</v>
      </c>
      <c r="E37" s="14">
        <f>'🥚 에그·해산물 커리'!E29</f>
        <v>13000</v>
      </c>
      <c r="F37" s="14">
        <f>'🥚 에그·해산물 커리'!F29</f>
        <v>1358.4960381054129</v>
      </c>
      <c r="G37" s="14">
        <f>'🥚 에그·해산물 커리'!G29</f>
        <v>8583.8618577410598</v>
      </c>
      <c r="H37" s="14">
        <f>'🥚 에그·해산물 커리'!H29</f>
        <v>7225.3658196356464</v>
      </c>
      <c r="I37" s="15">
        <f>'🥚 에그·해산물 커리'!I29</f>
        <v>0.55579737074120361</v>
      </c>
      <c r="J37" s="14">
        <f>IFERROR('🥚 에그·해산물 커리'!E29-'🥚 에그·해산물 커리'!H29,"")</f>
        <v>5774.6341803643536</v>
      </c>
      <c r="K37" s="16" t="str">
        <f>'🥚 에그·해산물 커리'!J29</f>
        <v>🔴 과다</v>
      </c>
    </row>
    <row r="38" spans="2:11" ht="18" customHeight="1">
      <c r="B38" s="5">
        <v>19</v>
      </c>
      <c r="C38" s="6" t="s">
        <v>45</v>
      </c>
      <c r="D38" s="7" t="s">
        <v>43</v>
      </c>
      <c r="E38" s="8">
        <f>'🥚 에그·해산물 커리'!E50</f>
        <v>13000</v>
      </c>
      <c r="F38" s="8">
        <f>'🥚 에그·해산물 커리'!F50</f>
        <v>2029.3580840455843</v>
      </c>
      <c r="G38" s="8">
        <f>'🥚 에그·해산물 커리'!G50</f>
        <v>8583.8618577410598</v>
      </c>
      <c r="H38" s="8">
        <f>'🥚 에그·해산물 커리'!H50</f>
        <v>6554.5037736954755</v>
      </c>
      <c r="I38" s="9">
        <f>'🥚 에그·해산물 커리'!I50</f>
        <v>0.50419259797657501</v>
      </c>
      <c r="J38" s="8">
        <f>IFERROR('🥚 에그·해산물 커리'!E50-'🥚 에그·해산물 커리'!H50,"")</f>
        <v>6445.4962263045245</v>
      </c>
      <c r="K38" s="10" t="str">
        <f>'🥚 에그·해산물 커리'!J50</f>
        <v>🔴 과다</v>
      </c>
    </row>
    <row r="39" spans="2:11" ht="18" customHeight="1">
      <c r="B39" s="11">
        <v>20</v>
      </c>
      <c r="C39" s="12" t="s">
        <v>46</v>
      </c>
      <c r="D39" s="13" t="s">
        <v>43</v>
      </c>
      <c r="E39" s="14">
        <f>'🥚 에그·해산물 커리'!E71</f>
        <v>15000</v>
      </c>
      <c r="F39" s="14">
        <f>'🥚 에그·해산물 커리'!F71</f>
        <v>1877.6914173789173</v>
      </c>
      <c r="G39" s="14">
        <f>'🥚 에그·해산물 커리'!G71</f>
        <v>9904.4559897012223</v>
      </c>
      <c r="H39" s="14">
        <f>'🥚 에그·해산물 커리'!H71</f>
        <v>8026.764572322305</v>
      </c>
      <c r="I39" s="15">
        <f>'🥚 에그·해산물 커리'!I71</f>
        <v>0.53511763815482039</v>
      </c>
      <c r="J39" s="14">
        <f>IFERROR('🥚 에그·해산물 커리'!E71-'🥚 에그·해산물 커리'!H71,"")</f>
        <v>6973.235427677695</v>
      </c>
      <c r="K39" s="16" t="str">
        <f>'🥚 에그·해산물 커리'!J71</f>
        <v>🔴 과다</v>
      </c>
    </row>
    <row r="40" spans="2:11" ht="15.75" customHeight="1">
      <c r="B40" s="182" t="s">
        <v>47</v>
      </c>
      <c r="C40" s="182"/>
      <c r="D40" s="182"/>
      <c r="E40" s="182"/>
      <c r="F40" s="182"/>
      <c r="G40" s="182"/>
      <c r="H40" s="182"/>
      <c r="I40" s="182"/>
      <c r="J40" s="182"/>
      <c r="K40" s="182"/>
    </row>
    <row r="41" spans="2:11" ht="18" customHeight="1">
      <c r="B41" s="5">
        <v>21</v>
      </c>
      <c r="C41" s="6" t="s">
        <v>48</v>
      </c>
      <c r="D41" s="7" t="s">
        <v>49</v>
      </c>
      <c r="E41" s="8">
        <f>'🥦 야채·달 커리'!E8</f>
        <v>13000</v>
      </c>
      <c r="F41" s="8">
        <f>'🥦 야채·달 커리'!F8</f>
        <v>1411.8471191333033</v>
      </c>
      <c r="G41" s="8">
        <f>'🥦 야채·달 커리'!G8</f>
        <v>8583.8618577410598</v>
      </c>
      <c r="H41" s="8">
        <f>'🥦 야채·달 커리'!H8</f>
        <v>7172.014738607757</v>
      </c>
      <c r="I41" s="9">
        <f>'🥦 야채·달 커리'!I8</f>
        <v>0.55169344143136589</v>
      </c>
      <c r="J41" s="8">
        <f>IFERROR('🥦 야채·달 커리'!E8-'🥦 야채·달 커리'!H8,"")</f>
        <v>5827.985261392243</v>
      </c>
      <c r="K41" s="10" t="str">
        <f>'🥦 야채·달 커리'!J8</f>
        <v>🔴 과다</v>
      </c>
    </row>
    <row r="42" spans="2:11" ht="18" customHeight="1">
      <c r="B42" s="11">
        <v>22</v>
      </c>
      <c r="C42" s="12" t="s">
        <v>50</v>
      </c>
      <c r="D42" s="13" t="s">
        <v>49</v>
      </c>
      <c r="E42" s="14">
        <f>'🥦 야채·달 커리'!E29</f>
        <v>13000</v>
      </c>
      <c r="F42" s="14">
        <f>'🥦 야채·달 커리'!F29</f>
        <v>1612.2747507122508</v>
      </c>
      <c r="G42" s="14">
        <f>'🥦 야채·달 커리'!G29</f>
        <v>8583.8618577410598</v>
      </c>
      <c r="H42" s="14">
        <f>'🥦 야채·달 커리'!H29</f>
        <v>6971.5871070288085</v>
      </c>
      <c r="I42" s="15">
        <f>'🥦 야채·달 커리'!I29</f>
        <v>0.53627593130990836</v>
      </c>
      <c r="J42" s="14">
        <f>IFERROR('🥦 야채·달 커리'!E29-'🥦 야채·달 커리'!H29,"")</f>
        <v>6028.4128929711915</v>
      </c>
      <c r="K42" s="16" t="str">
        <f>'🥦 야채·달 커리'!J29</f>
        <v>🔴 과다</v>
      </c>
    </row>
    <row r="43" spans="2:11" ht="18" customHeight="1">
      <c r="B43" s="5">
        <v>23</v>
      </c>
      <c r="C43" s="6" t="s">
        <v>51</v>
      </c>
      <c r="D43" s="7" t="s">
        <v>49</v>
      </c>
      <c r="E43" s="8">
        <f>'🥦 야채·달 커리'!E50</f>
        <v>13000</v>
      </c>
      <c r="F43" s="8">
        <f>'🥦 야채·달 커리'!F50</f>
        <v>1875.6297709923663</v>
      </c>
      <c r="G43" s="8">
        <f>'🥦 야채·달 커리'!G50</f>
        <v>8583.8618577410598</v>
      </c>
      <c r="H43" s="8">
        <f>'🥦 야채·달 커리'!H50</f>
        <v>6708.2320867486933</v>
      </c>
      <c r="I43" s="9">
        <f>'🥦 야채·달 커리'!I50</f>
        <v>0.51601785282682255</v>
      </c>
      <c r="J43" s="8">
        <f>IFERROR('🥦 야채·달 커리'!E50-'🥦 야채·달 커리'!H50,"")</f>
        <v>6291.7679132513067</v>
      </c>
      <c r="K43" s="10" t="str">
        <f>'🥦 야채·달 커리'!J50</f>
        <v>🔴 과다</v>
      </c>
    </row>
    <row r="44" spans="2:11" ht="18" customHeight="1">
      <c r="B44" s="11">
        <v>24</v>
      </c>
      <c r="C44" s="12" t="s">
        <v>52</v>
      </c>
      <c r="D44" s="13" t="s">
        <v>49</v>
      </c>
      <c r="E44" s="14">
        <f>'🥦 야채·달 커리'!E71</f>
        <v>12000</v>
      </c>
      <c r="F44" s="14">
        <f>'🥦 야채·달 커리'!F71</f>
        <v>1678.1297709923663</v>
      </c>
      <c r="G44" s="14">
        <f>'🥦 야채·달 커리'!G71</f>
        <v>7923.5647917609776</v>
      </c>
      <c r="H44" s="14">
        <f>'🥦 야채·달 커리'!H71</f>
        <v>6245.4350207686111</v>
      </c>
      <c r="I44" s="15">
        <f>'🥦 야채·달 커리'!I71</f>
        <v>0.52045291839738428</v>
      </c>
      <c r="J44" s="14">
        <f>IFERROR('🥦 야채·달 커리'!E71-'🥦 야채·달 커리'!H71,"")</f>
        <v>5754.5649792313889</v>
      </c>
      <c r="K44" s="16" t="str">
        <f>'🥦 야채·달 커리'!J71</f>
        <v>🔴 과다</v>
      </c>
    </row>
    <row r="45" spans="2:11" ht="18" customHeight="1">
      <c r="B45" s="5">
        <v>25</v>
      </c>
      <c r="C45" s="6" t="s">
        <v>53</v>
      </c>
      <c r="D45" s="7" t="s">
        <v>49</v>
      </c>
      <c r="E45" s="8">
        <f>'🥦 야채·달 커리'!E92</f>
        <v>12000</v>
      </c>
      <c r="F45" s="8">
        <f>'🥦 야채·달 커리'!F92</f>
        <v>436.76237535612535</v>
      </c>
      <c r="G45" s="8">
        <f>'🥦 야채·달 커리'!G92</f>
        <v>7923.5647917609776</v>
      </c>
      <c r="H45" s="8">
        <f>'🥦 야채·달 커리'!H92</f>
        <v>7486.802416404852</v>
      </c>
      <c r="I45" s="9">
        <f>'🥦 야채·달 커리'!I92</f>
        <v>0.62390020136707103</v>
      </c>
      <c r="J45" s="8">
        <f>IFERROR('🥦 야채·달 커리'!E92-'🥦 야채·달 커리'!H92,"")</f>
        <v>4513.197583595148</v>
      </c>
      <c r="K45" s="10" t="str">
        <f>'🥦 야채·달 커리'!J92</f>
        <v>🔴 과다</v>
      </c>
    </row>
    <row r="46" spans="2:11" ht="18" customHeight="1">
      <c r="B46" s="11">
        <v>26</v>
      </c>
      <c r="C46" s="12" t="s">
        <v>54</v>
      </c>
      <c r="D46" s="13" t="s">
        <v>49</v>
      </c>
      <c r="E46" s="14">
        <f>'🥦 야채·달 커리'!E113</f>
        <v>12000</v>
      </c>
      <c r="F46" s="14">
        <f>'🥦 야채·달 커리'!F113</f>
        <v>563.86006499287737</v>
      </c>
      <c r="G46" s="14">
        <f>'🥦 야채·달 커리'!G113</f>
        <v>7923.5647917609776</v>
      </c>
      <c r="H46" s="14">
        <f>'🥦 야채·달 커리'!H113</f>
        <v>7359.7047267681</v>
      </c>
      <c r="I46" s="15">
        <f>'🥦 야채·달 커리'!I113</f>
        <v>0.61330872723067498</v>
      </c>
      <c r="J46" s="14">
        <f>IFERROR('🥦 야채·달 커리'!E113-'🥦 야채·달 커리'!H113,"")</f>
        <v>4640.2952732319</v>
      </c>
      <c r="K46" s="16" t="str">
        <f>'🥦 야채·달 커리'!J113</f>
        <v>🔴 과다</v>
      </c>
    </row>
    <row r="47" spans="2:11" ht="18" customHeight="1">
      <c r="B47" s="5">
        <v>27</v>
      </c>
      <c r="C47" s="6" t="s">
        <v>55</v>
      </c>
      <c r="D47" s="7" t="s">
        <v>49</v>
      </c>
      <c r="E47" s="8">
        <f>'🥦 야채·달 커리'!E134</f>
        <v>12500</v>
      </c>
      <c r="F47" s="8">
        <f>'🥦 야채·달 커리'!F134</f>
        <v>469.71732549857546</v>
      </c>
      <c r="G47" s="8">
        <f>'🥦 야채·달 커리'!G134</f>
        <v>8253.7133247510192</v>
      </c>
      <c r="H47" s="8">
        <f>'🥦 야채·달 커리'!H134</f>
        <v>7783.9959992524437</v>
      </c>
      <c r="I47" s="9">
        <f>'🥦 야채·달 커리'!I134</f>
        <v>0.6227196799401955</v>
      </c>
      <c r="J47" s="8">
        <f>IFERROR('🥦 야채·달 커리'!E134-'🥦 야채·달 커리'!H134,"")</f>
        <v>4716.0040007475563</v>
      </c>
      <c r="K47" s="10" t="str">
        <f>'🥦 야채·달 커리'!J134</f>
        <v>🔴 과다</v>
      </c>
    </row>
    <row r="48" spans="2:11" ht="18" customHeight="1">
      <c r="B48" s="11">
        <v>28</v>
      </c>
      <c r="C48" s="12" t="s">
        <v>56</v>
      </c>
      <c r="D48" s="13" t="s">
        <v>49</v>
      </c>
      <c r="E48" s="14">
        <f>'🥦 야채·달 커리'!E155</f>
        <v>12000</v>
      </c>
      <c r="F48" s="14">
        <f>'🥦 야채·달 커리'!F155</f>
        <v>830.21732549857552</v>
      </c>
      <c r="G48" s="14">
        <f>'🥦 야채·달 커리'!G155</f>
        <v>7923.5647917609776</v>
      </c>
      <c r="H48" s="14">
        <f>'🥦 야채·달 커리'!H155</f>
        <v>7093.3474662624021</v>
      </c>
      <c r="I48" s="15">
        <f>'🥦 야채·달 커리'!I155</f>
        <v>0.59111228885520017</v>
      </c>
      <c r="J48" s="14">
        <f>IFERROR('🥦 야채·달 커리'!E155-'🥦 야채·달 커리'!H155,"")</f>
        <v>4906.6525337375979</v>
      </c>
      <c r="K48" s="16" t="str">
        <f>'🥦 야채·달 커리'!J155</f>
        <v>🔴 과다</v>
      </c>
    </row>
    <row r="49" spans="2:11" ht="18" customHeight="1">
      <c r="B49" s="5">
        <v>29</v>
      </c>
      <c r="C49" s="6" t="s">
        <v>57</v>
      </c>
      <c r="D49" s="7" t="s">
        <v>49</v>
      </c>
      <c r="E49" s="8">
        <f>'🥦 야채·달 커리'!E176</f>
        <v>13000</v>
      </c>
      <c r="F49" s="8">
        <f>'🥦 야채·달 커리'!F176</f>
        <v>1444.2845394736842</v>
      </c>
      <c r="G49" s="8">
        <f>'🥦 야채·달 커리'!G176</f>
        <v>8583.8618577410598</v>
      </c>
      <c r="H49" s="8">
        <f>'🥦 야채·달 커리'!H176</f>
        <v>7139.5773182673756</v>
      </c>
      <c r="I49" s="9">
        <f>'🥦 야채·달 커리'!I176</f>
        <v>0.54919825525133659</v>
      </c>
      <c r="J49" s="8">
        <f>IFERROR('🥦 야채·달 커리'!E176-'🥦 야채·달 커리'!H176,"")</f>
        <v>5860.4226817326244</v>
      </c>
      <c r="K49" s="10" t="str">
        <f>'🥦 야채·달 커리'!J176</f>
        <v>🔴 과다</v>
      </c>
    </row>
    <row r="50" spans="2:11" ht="18" customHeight="1">
      <c r="B50" s="11">
        <v>30</v>
      </c>
      <c r="C50" s="12" t="s">
        <v>58</v>
      </c>
      <c r="D50" s="13" t="s">
        <v>49</v>
      </c>
      <c r="E50" s="14">
        <f>'🥦 야채·달 커리'!E197</f>
        <v>12000</v>
      </c>
      <c r="F50" s="14">
        <f>'🥦 야채·달 커리'!F197</f>
        <v>1608.28125</v>
      </c>
      <c r="G50" s="14">
        <f>'🥦 야채·달 커리'!G197</f>
        <v>7923.5647917609776</v>
      </c>
      <c r="H50" s="14">
        <f>'🥦 야채·달 커리'!H197</f>
        <v>6315.2835417609776</v>
      </c>
      <c r="I50" s="15">
        <f>'🥦 야채·달 커리'!I197</f>
        <v>0.52627362848008152</v>
      </c>
      <c r="J50" s="14">
        <f>IFERROR('🥦 야채·달 커리'!E197-'🥦 야채·달 커리'!H197,"")</f>
        <v>5684.7164582390224</v>
      </c>
      <c r="K50" s="16" t="str">
        <f>'🥦 야채·달 커리'!J197</f>
        <v>🔴 과다</v>
      </c>
    </row>
    <row r="51" spans="2:11" ht="18" customHeight="1">
      <c r="B51" s="5">
        <v>31</v>
      </c>
      <c r="C51" s="6" t="s">
        <v>59</v>
      </c>
      <c r="D51" s="7" t="s">
        <v>49</v>
      </c>
      <c r="E51" s="8">
        <f>'🥦 야채·달 커리'!E218</f>
        <v>13000</v>
      </c>
      <c r="F51" s="8">
        <f>'🥦 야채·달 커리'!F218</f>
        <v>1122.8580840455841</v>
      </c>
      <c r="G51" s="8">
        <f>'🥦 야채·달 커리'!G218</f>
        <v>8583.8618577410598</v>
      </c>
      <c r="H51" s="8">
        <f>'🥦 야채·달 커리'!H218</f>
        <v>7461.0037736954755</v>
      </c>
      <c r="I51" s="9">
        <f>'🥦 야채·달 커리'!I218</f>
        <v>0.57392336720734427</v>
      </c>
      <c r="J51" s="8">
        <f>IFERROR('🥦 야채·달 커리'!E218-'🥦 야채·달 커리'!H218,"")</f>
        <v>5538.9962263045245</v>
      </c>
      <c r="K51" s="10" t="str">
        <f>'🥦 야채·달 커리'!J218</f>
        <v>🔴 과다</v>
      </c>
    </row>
    <row r="52" spans="2:11" ht="18" customHeight="1">
      <c r="B52" s="11">
        <v>32</v>
      </c>
      <c r="C52" s="12" t="s">
        <v>60</v>
      </c>
      <c r="D52" s="13" t="s">
        <v>49</v>
      </c>
      <c r="E52" s="14">
        <f>'🥦 야채·달 커리'!E239</f>
        <v>13500</v>
      </c>
      <c r="F52" s="14">
        <f>'🥦 야채·달 커리'!F239</f>
        <v>827.27475071225069</v>
      </c>
      <c r="G52" s="14">
        <f>'🥦 야채·달 커리'!G239</f>
        <v>8914.0103907311004</v>
      </c>
      <c r="H52" s="14">
        <f>'🥦 야채·달 커리'!H239</f>
        <v>8086.7356400188501</v>
      </c>
      <c r="I52" s="15">
        <f>'🥦 야채·달 커리'!I239</f>
        <v>0.59901745481621116</v>
      </c>
      <c r="J52" s="14">
        <f>IFERROR('🥦 야채·달 커리'!E239-'🥦 야채·달 커리'!H239,"")</f>
        <v>5413.2643599811499</v>
      </c>
      <c r="K52" s="16" t="str">
        <f>'🥦 야채·달 커리'!J239</f>
        <v>🔴 과다</v>
      </c>
    </row>
    <row r="53" spans="2:11" ht="18" customHeight="1">
      <c r="B53" s="5">
        <v>76</v>
      </c>
      <c r="C53" s="6" t="s">
        <v>61</v>
      </c>
      <c r="D53" s="7" t="s">
        <v>49</v>
      </c>
      <c r="E53" s="8">
        <f>'🥦 야채·달 커리'!E260</f>
        <v>15000</v>
      </c>
      <c r="F53" s="8">
        <f>'🥦 야채·달 커리'!F260</f>
        <v>887.03857460049414</v>
      </c>
      <c r="G53" s="8">
        <f>'🥦 야채·달 커리'!G260</f>
        <v>9904.4559897012223</v>
      </c>
      <c r="H53" s="8">
        <f>'🥦 야채·달 커리'!H260</f>
        <v>9017.4174151007282</v>
      </c>
      <c r="I53" s="9">
        <f>'🥦 야채·달 커리'!I260</f>
        <v>0.60116116100671524</v>
      </c>
      <c r="J53" s="8">
        <f>IFERROR('🥦 야채·달 커리'!E260-'🥦 야채·달 커리'!H260,"")</f>
        <v>5982.5825848992718</v>
      </c>
      <c r="K53" s="10" t="str">
        <f>'🥦 야채·달 커리'!J260</f>
        <v>🔴 과다</v>
      </c>
    </row>
    <row r="54" spans="2:11" ht="15.75" customHeight="1">
      <c r="B54" s="173" t="s">
        <v>62</v>
      </c>
      <c r="C54" s="173"/>
      <c r="D54" s="173"/>
      <c r="E54" s="173"/>
      <c r="F54" s="173"/>
      <c r="G54" s="173"/>
      <c r="H54" s="173"/>
      <c r="I54" s="173"/>
      <c r="J54" s="173"/>
      <c r="K54" s="173"/>
    </row>
    <row r="55" spans="2:11" ht="18" customHeight="1">
      <c r="B55" s="5">
        <v>47</v>
      </c>
      <c r="C55" s="6" t="s">
        <v>63</v>
      </c>
      <c r="D55" s="7" t="s">
        <v>64</v>
      </c>
      <c r="E55" s="8">
        <f>'🔥 탄두리·케밥'!E8</f>
        <v>12000</v>
      </c>
      <c r="F55" s="8">
        <f>'🔥 탄두리·케밥'!F8</f>
        <v>594.34210526315792</v>
      </c>
      <c r="G55" s="8">
        <f>'🔥 탄두리·케밥'!G8</f>
        <v>7923.5647917609776</v>
      </c>
      <c r="H55" s="8">
        <f>'🔥 탄두리·케밥'!H8</f>
        <v>7329.2226864978202</v>
      </c>
      <c r="I55" s="9">
        <f>'🔥 탄두리·케밥'!I8</f>
        <v>0.61076855720815171</v>
      </c>
      <c r="J55" s="8">
        <f>IFERROR('🔥 탄두리·케밥'!E8-'🔥 탄두리·케밥'!H8,"")</f>
        <v>4670.7773135021798</v>
      </c>
      <c r="K55" s="10" t="str">
        <f>'🔥 탄두리·케밥'!J8</f>
        <v>🔴 과다</v>
      </c>
    </row>
    <row r="56" spans="2:11" ht="18" customHeight="1">
      <c r="B56" s="11">
        <v>48</v>
      </c>
      <c r="C56" s="12" t="s">
        <v>65</v>
      </c>
      <c r="D56" s="13" t="s">
        <v>64</v>
      </c>
      <c r="E56" s="14">
        <f>'🔥 탄두리·케밥'!E29</f>
        <v>11000</v>
      </c>
      <c r="F56" s="14">
        <f>'🔥 탄두리·케밥'!F29</f>
        <v>458.16416666666669</v>
      </c>
      <c r="G56" s="14">
        <f>'🔥 탄두리·케밥'!G29</f>
        <v>7263.2677257808964</v>
      </c>
      <c r="H56" s="14">
        <f>'🔥 탄두리·케밥'!H29</f>
        <v>6805.1035591142299</v>
      </c>
      <c r="I56" s="15">
        <f>'🔥 탄두리·케밥'!I29</f>
        <v>0.61864577810129362</v>
      </c>
      <c r="J56" s="14">
        <f>IFERROR('🔥 탄두리·케밥'!E29-'🔥 탄두리·케밥'!H29,"")</f>
        <v>4194.8964408857701</v>
      </c>
      <c r="K56" s="16" t="str">
        <f>'🔥 탄두리·케밥'!J29</f>
        <v>🔴 과다</v>
      </c>
    </row>
    <row r="57" spans="2:11" ht="18" customHeight="1">
      <c r="B57" s="5">
        <v>49</v>
      </c>
      <c r="C57" s="6" t="s">
        <v>66</v>
      </c>
      <c r="D57" s="7" t="s">
        <v>64</v>
      </c>
      <c r="E57" s="8">
        <f>'🔥 탄두리·케밥'!E50</f>
        <v>12000</v>
      </c>
      <c r="F57" s="8">
        <f>'🔥 탄두리·케밥'!F50</f>
        <v>641.25</v>
      </c>
      <c r="G57" s="8">
        <f>'🔥 탄두리·케밥'!G50</f>
        <v>7923.5647917609776</v>
      </c>
      <c r="H57" s="8">
        <f>'🔥 탄두리·케밥'!H50</f>
        <v>7282.3147917609776</v>
      </c>
      <c r="I57" s="9">
        <f>'🔥 탄두리·케밥'!I50</f>
        <v>0.60685956598008151</v>
      </c>
      <c r="J57" s="8">
        <f>IFERROR('🔥 탄두리·케밥'!E50-'🔥 탄두리·케밥'!H50,"")</f>
        <v>4717.6852082390224</v>
      </c>
      <c r="K57" s="10" t="str">
        <f>'🔥 탄두리·케밥'!J50</f>
        <v>🔴 과다</v>
      </c>
    </row>
    <row r="58" spans="2:11" ht="18" customHeight="1">
      <c r="B58" s="11">
        <v>50</v>
      </c>
      <c r="C58" s="12" t="s">
        <v>67</v>
      </c>
      <c r="D58" s="13" t="s">
        <v>64</v>
      </c>
      <c r="E58" s="14">
        <f>'🔥 탄두리·케밥'!E71</f>
        <v>13000</v>
      </c>
      <c r="F58" s="14">
        <f>'🔥 탄두리·케밥'!F71</f>
        <v>4033.0833333333335</v>
      </c>
      <c r="G58" s="14">
        <f>'🔥 탄두리·케밥'!G71</f>
        <v>8583.8618577410598</v>
      </c>
      <c r="H58" s="14">
        <f>'🔥 탄두리·케밥'!H71</f>
        <v>4550.7785244077259</v>
      </c>
      <c r="I58" s="15">
        <f>'🔥 탄두리·케밥'!I71</f>
        <v>0.35005988649290198</v>
      </c>
      <c r="J58" s="14">
        <f>IFERROR('🔥 탄두리·케밥'!E71-'🔥 탄두리·케밥'!H71,"")</f>
        <v>8449.2214755922741</v>
      </c>
      <c r="K58" s="16" t="str">
        <f>'🔥 탄두리·케밥'!J71</f>
        <v>🔴 과다</v>
      </c>
    </row>
    <row r="59" spans="2:11" ht="18" customHeight="1">
      <c r="B59" s="5">
        <v>51</v>
      </c>
      <c r="C59" s="6" t="s">
        <v>68</v>
      </c>
      <c r="D59" s="7" t="s">
        <v>64</v>
      </c>
      <c r="E59" s="8">
        <f>'🔥 탄두리·케밥'!E93</f>
        <v>30000</v>
      </c>
      <c r="F59" s="8">
        <f>'🔥 탄두리·케밥'!F93</f>
        <v>1015.3947368421052</v>
      </c>
      <c r="G59" s="8">
        <f>'🔥 탄두리·케밥'!G93</f>
        <v>19808.911979402445</v>
      </c>
      <c r="H59" s="8">
        <f>'🔥 탄두리·케밥'!H93</f>
        <v>18793.517242560338</v>
      </c>
      <c r="I59" s="9">
        <f>'🔥 탄두리·케밥'!I93</f>
        <v>0.62645057475201127</v>
      </c>
      <c r="J59" s="8">
        <f>IFERROR('🔥 탄두리·케밥'!E93-'🔥 탄두리·케밥'!H93,"")</f>
        <v>11206.482757439662</v>
      </c>
      <c r="K59" s="10" t="str">
        <f>'🔥 탄두리·케밥'!J93</f>
        <v>🔴 과다</v>
      </c>
    </row>
    <row r="60" spans="2:11" ht="18" customHeight="1">
      <c r="B60" s="11">
        <v>52</v>
      </c>
      <c r="C60" s="12" t="s">
        <v>69</v>
      </c>
      <c r="D60" s="13" t="s">
        <v>64</v>
      </c>
      <c r="E60" s="14">
        <f>'🔥 탄두리·케밥'!E115</f>
        <v>10000</v>
      </c>
      <c r="F60" s="14">
        <f>'🔥 탄두리·케밥'!F115</f>
        <v>708.74750000000006</v>
      </c>
      <c r="G60" s="14">
        <f>'🔥 탄두리·케밥'!G115</f>
        <v>6602.9706598008152</v>
      </c>
      <c r="H60" s="14">
        <f>'🔥 탄두리·케밥'!H115</f>
        <v>5894.2231598008148</v>
      </c>
      <c r="I60" s="15">
        <f>'🔥 탄두리·케밥'!I115</f>
        <v>0.58942231598008143</v>
      </c>
      <c r="J60" s="14">
        <f>IFERROR('🔥 탄두리·케밥'!E115-'🔥 탄두리·케밥'!H115,"")</f>
        <v>4105.7768401991852</v>
      </c>
      <c r="K60" s="16" t="str">
        <f>'🔥 탄두리·케밥'!J115</f>
        <v>🔴 과다</v>
      </c>
    </row>
    <row r="61" spans="2:11" ht="18" customHeight="1">
      <c r="B61" s="5">
        <v>53</v>
      </c>
      <c r="C61" s="6" t="s">
        <v>70</v>
      </c>
      <c r="D61" s="7" t="s">
        <v>64</v>
      </c>
      <c r="E61" s="8">
        <f>'🔥 탄두리·케밥'!E136</f>
        <v>19000</v>
      </c>
      <c r="F61" s="8">
        <f>'🔥 탄두리·케밥'!F136</f>
        <v>936.69027777777774</v>
      </c>
      <c r="G61" s="8">
        <f>'🔥 탄두리·케밥'!G136</f>
        <v>12545.644253621549</v>
      </c>
      <c r="H61" s="8">
        <f>'🔥 탄두리·케밥'!H136</f>
        <v>11608.953975843771</v>
      </c>
      <c r="I61" s="9">
        <f>'🔥 탄두리·케밥'!I136</f>
        <v>0.61099757767598795</v>
      </c>
      <c r="J61" s="8">
        <f>IFERROR('🔥 탄두리·케밥'!E136-'🔥 탄두리·케밥'!H136,"")</f>
        <v>7391.0460241562287</v>
      </c>
      <c r="K61" s="10" t="str">
        <f>'🔥 탄두리·케밥'!J136</f>
        <v>🔴 과다</v>
      </c>
    </row>
    <row r="62" spans="2:11" ht="18" customHeight="1">
      <c r="B62" s="11">
        <v>79</v>
      </c>
      <c r="C62" s="12" t="s">
        <v>71</v>
      </c>
      <c r="D62" s="13" t="s">
        <v>64</v>
      </c>
      <c r="E62" s="14">
        <f>'🔥 탄두리·케밥'!E157</f>
        <v>18000</v>
      </c>
      <c r="F62" s="14">
        <f>'🔥 탄두리·케밥'!F157</f>
        <v>2447.7777777777778</v>
      </c>
      <c r="G62" s="14">
        <f>'🔥 탄두리·케밥'!G157</f>
        <v>11885.347187641466</v>
      </c>
      <c r="H62" s="14">
        <f>'🔥 탄두리·케밥'!H157</f>
        <v>9437.5694098636886</v>
      </c>
      <c r="I62" s="15">
        <f>'🔥 탄두리·케밥'!I157</f>
        <v>0.52430941165909384</v>
      </c>
      <c r="J62" s="14">
        <f>IFERROR('🔥 탄두리·케밥'!E157-'🔥 탄두리·케밥'!H157,"")</f>
        <v>8562.4305901363114</v>
      </c>
      <c r="K62" s="16" t="str">
        <f>'🔥 탄두리·케밥'!J157</f>
        <v>🔴 과다</v>
      </c>
    </row>
    <row r="63" spans="2:11" ht="18" customHeight="1">
      <c r="B63" s="5">
        <v>87</v>
      </c>
      <c r="C63" s="6" t="s">
        <v>72</v>
      </c>
      <c r="D63" s="7" t="s">
        <v>64</v>
      </c>
      <c r="E63" s="8">
        <f>'🔥 탄두리·케밥'!E178</f>
        <v>22000</v>
      </c>
      <c r="F63" s="8">
        <f>'🔥 탄두리·케밥'!F178</f>
        <v>6576.2611111111109</v>
      </c>
      <c r="G63" s="8">
        <f>'🔥 탄두리·케밥'!G178</f>
        <v>14526.535451561793</v>
      </c>
      <c r="H63" s="8">
        <f>'🔥 탄두리·케밥'!H178</f>
        <v>7950.2743404506818</v>
      </c>
      <c r="I63" s="9">
        <f>'🔥 탄두리·케밥'!I178</f>
        <v>0.36137610638412188</v>
      </c>
      <c r="J63" s="8">
        <f>IFERROR('🔥 탄두리·케밥'!E178-'🔥 탄두리·케밥'!H178,"")</f>
        <v>14049.725659549318</v>
      </c>
      <c r="K63" s="10" t="str">
        <f>'🔥 탄두리·케밥'!J178</f>
        <v>🔴 과다</v>
      </c>
    </row>
    <row r="64" spans="2:11" ht="15.75" customHeight="1">
      <c r="B64" s="174" t="s">
        <v>73</v>
      </c>
      <c r="C64" s="174"/>
      <c r="D64" s="174"/>
      <c r="E64" s="174"/>
      <c r="F64" s="174"/>
      <c r="G64" s="174"/>
      <c r="H64" s="174"/>
      <c r="I64" s="174"/>
      <c r="J64" s="174"/>
      <c r="K64" s="174"/>
    </row>
    <row r="65" spans="2:11" ht="18" customHeight="1">
      <c r="B65" s="5">
        <v>33</v>
      </c>
      <c r="C65" s="6" t="s">
        <v>74</v>
      </c>
      <c r="D65" s="7" t="s">
        <v>75</v>
      </c>
      <c r="E65" s="8">
        <f>'🥟 스낵·면·만두'!E8</f>
        <v>10000</v>
      </c>
      <c r="F65" s="8">
        <f>'🥟 스낵·면·만두'!F8</f>
        <v>626.16666666666674</v>
      </c>
      <c r="G65" s="8">
        <f>'🥟 스낵·면·만두'!G8</f>
        <v>6602.9706598008152</v>
      </c>
      <c r="H65" s="8">
        <f>'🥟 스낵·면·만두'!H8</f>
        <v>5976.8039931341482</v>
      </c>
      <c r="I65" s="9">
        <f>'🥟 스낵·면·만두'!I8</f>
        <v>0.59768039931341477</v>
      </c>
      <c r="J65" s="8">
        <f>IFERROR('🥟 스낵·면·만두'!E8-'🥟 스낵·면·만두'!H8,"")</f>
        <v>4023.1960068658518</v>
      </c>
      <c r="K65" s="10" t="str">
        <f>'🥟 스낵·면·만두'!J8</f>
        <v>🔴 과다</v>
      </c>
    </row>
    <row r="66" spans="2:11" ht="18" customHeight="1">
      <c r="B66" s="11">
        <v>34</v>
      </c>
      <c r="C66" s="12" t="s">
        <v>76</v>
      </c>
      <c r="D66" s="13" t="s">
        <v>75</v>
      </c>
      <c r="E66" s="14">
        <f>'🥟 스낵·면·만두'!E29</f>
        <v>12000</v>
      </c>
      <c r="F66" s="14">
        <f>'🥟 스낵·면·만두'!F29</f>
        <v>683.66666666666674</v>
      </c>
      <c r="G66" s="14">
        <f>'🥟 스낵·면·만두'!G29</f>
        <v>7923.5647917609776</v>
      </c>
      <c r="H66" s="14">
        <f>'🥟 스낵·면·만두'!H29</f>
        <v>7239.8981250943107</v>
      </c>
      <c r="I66" s="15">
        <f>'🥟 스낵·면·만두'!I29</f>
        <v>0.60332484375785922</v>
      </c>
      <c r="J66" s="14">
        <f>IFERROR('🥟 스낵·면·만두'!E29-'🥟 스낵·면·만두'!H29,"")</f>
        <v>4760.1018749056893</v>
      </c>
      <c r="K66" s="16" t="str">
        <f>'🥟 스낵·면·만두'!J29</f>
        <v>🔴 과다</v>
      </c>
    </row>
    <row r="67" spans="2:11" ht="18" customHeight="1">
      <c r="B67" s="5">
        <v>35</v>
      </c>
      <c r="C67" s="6" t="s">
        <v>77</v>
      </c>
      <c r="D67" s="7" t="s">
        <v>75</v>
      </c>
      <c r="E67" s="8">
        <f>'🥟 스낵·면·만두'!E50</f>
        <v>10000</v>
      </c>
      <c r="F67" s="8">
        <f>'🥟 스낵·면·만두'!F50</f>
        <v>871.41111111111115</v>
      </c>
      <c r="G67" s="8">
        <f>'🥟 스낵·면·만두'!G50</f>
        <v>6602.9706598008152</v>
      </c>
      <c r="H67" s="8">
        <f>'🥟 스낵·면·만두'!H50</f>
        <v>5731.5595486897037</v>
      </c>
      <c r="I67" s="9">
        <f>'🥟 스낵·면·만두'!I50</f>
        <v>0.57315595486897042</v>
      </c>
      <c r="J67" s="8">
        <f>IFERROR('🥟 스낵·면·만두'!E50-'🥟 스낵·면·만두'!H50,"")</f>
        <v>4268.4404513102963</v>
      </c>
      <c r="K67" s="10" t="str">
        <f>'🥟 스낵·면·만두'!J50</f>
        <v>🔴 과다</v>
      </c>
    </row>
    <row r="68" spans="2:11" ht="18" customHeight="1">
      <c r="B68" s="11">
        <v>36</v>
      </c>
      <c r="C68" s="12" t="s">
        <v>78</v>
      </c>
      <c r="D68" s="13" t="s">
        <v>75</v>
      </c>
      <c r="E68" s="14">
        <f>'🥟 스낵·면·만두'!E71</f>
        <v>10000</v>
      </c>
      <c r="F68" s="14">
        <f>'🥟 스낵·면·만두'!F71</f>
        <v>1002.014521011396</v>
      </c>
      <c r="G68" s="14">
        <f>'🥟 스낵·면·만두'!G71</f>
        <v>6602.9706598008152</v>
      </c>
      <c r="H68" s="14">
        <f>'🥟 스낵·면·만두'!H71</f>
        <v>5600.9561387894191</v>
      </c>
      <c r="I68" s="15">
        <f>'🥟 스낵·면·만두'!I71</f>
        <v>0.56009561387894191</v>
      </c>
      <c r="J68" s="14">
        <f>IFERROR('🥟 스낵·면·만두'!E71-'🥟 스낵·면·만두'!H71,"")</f>
        <v>4399.0438612105809</v>
      </c>
      <c r="K68" s="16" t="str">
        <f>'🥟 스낵·면·만두'!J71</f>
        <v>🔴 과다</v>
      </c>
    </row>
    <row r="69" spans="2:11" ht="18" customHeight="1">
      <c r="B69" s="5">
        <v>37</v>
      </c>
      <c r="C69" s="6" t="s">
        <v>79</v>
      </c>
      <c r="D69" s="7" t="s">
        <v>75</v>
      </c>
      <c r="E69" s="8">
        <f>'🥟 스낵·면·만두'!E92</f>
        <v>6000</v>
      </c>
      <c r="F69" s="8">
        <f>'🥟 스낵·면·만두'!F92</f>
        <v>623.75</v>
      </c>
      <c r="G69" s="8">
        <f>'🥟 스낵·면·만두'!G92</f>
        <v>3961.7823958804888</v>
      </c>
      <c r="H69" s="8">
        <f>'🥟 스낵·면·만두'!H92</f>
        <v>3338.0323958804888</v>
      </c>
      <c r="I69" s="9">
        <f>'🥟 스낵·면·만두'!I92</f>
        <v>0.55633873264674816</v>
      </c>
      <c r="J69" s="8">
        <f>IFERROR('🥟 스낵·면·만두'!E92-'🥟 스낵·면·만두'!H92,"")</f>
        <v>2661.9676041195112</v>
      </c>
      <c r="K69" s="10" t="str">
        <f>'🥟 스낵·면·만두'!J92</f>
        <v>🔴 과다</v>
      </c>
    </row>
    <row r="70" spans="2:11" ht="18" customHeight="1">
      <c r="B70" s="11">
        <v>38</v>
      </c>
      <c r="C70" s="12" t="s">
        <v>80</v>
      </c>
      <c r="D70" s="13" t="s">
        <v>75</v>
      </c>
      <c r="E70" s="14">
        <f>'🥟 스낵·면·만두'!E113</f>
        <v>12000</v>
      </c>
      <c r="F70" s="14">
        <f>'🥟 스낵·면·만두'!F113</f>
        <v>856.13333333333333</v>
      </c>
      <c r="G70" s="14">
        <f>'🥟 스낵·면·만두'!G113</f>
        <v>7923.5647917609776</v>
      </c>
      <c r="H70" s="14">
        <f>'🥟 스낵·면·만두'!H113</f>
        <v>7067.4314584276444</v>
      </c>
      <c r="I70" s="15">
        <f>'🥟 스낵·면·만두'!I113</f>
        <v>0.58895262153563699</v>
      </c>
      <c r="J70" s="14">
        <f>IFERROR('🥟 스낵·면·만두'!E113-'🥟 스낵·면·만두'!H113,"")</f>
        <v>4932.5685415723556</v>
      </c>
      <c r="K70" s="16" t="str">
        <f>'🥟 스낵·면·만두'!J113</f>
        <v>🔴 과다</v>
      </c>
    </row>
    <row r="71" spans="2:11" ht="18" customHeight="1">
      <c r="B71" s="5">
        <v>39</v>
      </c>
      <c r="C71" s="6" t="s">
        <v>81</v>
      </c>
      <c r="D71" s="7" t="s">
        <v>75</v>
      </c>
      <c r="E71" s="8">
        <f>'🥟 스낵·면·만두'!E134</f>
        <v>5000</v>
      </c>
      <c r="F71" s="8">
        <f>'🥟 스낵·면·만두'!F134</f>
        <v>5</v>
      </c>
      <c r="G71" s="8">
        <f>'🥟 스낵·면·만두'!G134</f>
        <v>3301.4853299004076</v>
      </c>
      <c r="H71" s="8">
        <f>'🥟 스낵·면·만두'!H134</f>
        <v>3296.4853299004076</v>
      </c>
      <c r="I71" s="9">
        <f>'🥟 스낵·면·만두'!I134</f>
        <v>0.65929706598008153</v>
      </c>
      <c r="J71" s="8">
        <f>IFERROR('🥟 스낵·면·만두'!E134-'🥟 스낵·면·만두'!H134,"")</f>
        <v>1703.5146700995924</v>
      </c>
      <c r="K71" s="10" t="str">
        <f>'🥟 스낵·면·만두'!J134</f>
        <v>🔴 과다</v>
      </c>
    </row>
    <row r="72" spans="2:11" ht="18" customHeight="1">
      <c r="B72" s="11">
        <v>42</v>
      </c>
      <c r="C72" s="12" t="s">
        <v>82</v>
      </c>
      <c r="D72" s="13" t="s">
        <v>75</v>
      </c>
      <c r="E72" s="14">
        <f>'🥟 스낵·면·만두'!E155</f>
        <v>13000</v>
      </c>
      <c r="F72" s="14">
        <f>'🥟 스낵·면·만두'!F155</f>
        <v>360</v>
      </c>
      <c r="G72" s="14">
        <f>'🥟 스낵·면·만두'!G155</f>
        <v>8583.8618577410598</v>
      </c>
      <c r="H72" s="14">
        <f>'🥟 스낵·면·만두'!H155</f>
        <v>8223.8618577410598</v>
      </c>
      <c r="I72" s="15">
        <f>'🥟 스낵·면·만두'!I155</f>
        <v>0.63260475828777385</v>
      </c>
      <c r="J72" s="14">
        <f>IFERROR('🥟 스낵·면·만두'!E155-'🥟 스낵·면·만두'!H155,"")</f>
        <v>4776.1381422589402</v>
      </c>
      <c r="K72" s="16" t="str">
        <f>'🥟 스낵·면·만두'!J155</f>
        <v>🔴 과다</v>
      </c>
    </row>
    <row r="73" spans="2:11" ht="18" customHeight="1">
      <c r="B73" s="5">
        <v>43</v>
      </c>
      <c r="C73" s="6" t="s">
        <v>83</v>
      </c>
      <c r="D73" s="7" t="s">
        <v>75</v>
      </c>
      <c r="E73" s="8">
        <f>'🥟 스낵·면·만두'!E176</f>
        <v>8000</v>
      </c>
      <c r="F73" s="8">
        <f>'🥟 스낵·면·만두'!F176</f>
        <v>1232.5</v>
      </c>
      <c r="G73" s="8">
        <f>'🥟 스낵·면·만두'!G176</f>
        <v>5282.3765278406518</v>
      </c>
      <c r="H73" s="8">
        <f>'🥟 스낵·면·만두'!H176</f>
        <v>4049.8765278406518</v>
      </c>
      <c r="I73" s="9">
        <f>'🥟 스낵·면·만두'!I176</f>
        <v>0.50623456598008143</v>
      </c>
      <c r="J73" s="8">
        <f>IFERROR('🥟 스낵·면·만두'!E176-'🥟 스낵·면·만두'!H176,"")</f>
        <v>3950.1234721593482</v>
      </c>
      <c r="K73" s="10" t="str">
        <f>'🥟 스낵·면·만두'!J176</f>
        <v>🔴 과다</v>
      </c>
    </row>
    <row r="74" spans="2:11" ht="18" customHeight="1">
      <c r="B74" s="11">
        <v>44</v>
      </c>
      <c r="C74" s="12" t="s">
        <v>84</v>
      </c>
      <c r="D74" s="13" t="s">
        <v>75</v>
      </c>
      <c r="E74" s="14">
        <f>'🥟 스낵·면·만두'!E198</f>
        <v>9000</v>
      </c>
      <c r="F74" s="14">
        <f>'🥟 스낵·면·만두'!F198</f>
        <v>966.16666666666674</v>
      </c>
      <c r="G74" s="14">
        <f>'🥟 스낵·면·만두'!G198</f>
        <v>5942.673593820733</v>
      </c>
      <c r="H74" s="14">
        <f>'🥟 스낵·면·만두'!H198</f>
        <v>4976.506927154066</v>
      </c>
      <c r="I74" s="15">
        <f>'🥟 스낵·면·만두'!I198</f>
        <v>0.55294521412822961</v>
      </c>
      <c r="J74" s="14">
        <f>IFERROR('🥟 스낵·면·만두'!E198-'🥟 스낵·면·만두'!H198,"")</f>
        <v>4023.493072845934</v>
      </c>
      <c r="K74" s="16" t="str">
        <f>'🥟 스낵·면·만두'!J198</f>
        <v>🔴 과다</v>
      </c>
    </row>
    <row r="75" spans="2:11" ht="18" customHeight="1">
      <c r="B75" s="5">
        <v>45</v>
      </c>
      <c r="C75" s="6" t="s">
        <v>85</v>
      </c>
      <c r="D75" s="7" t="s">
        <v>75</v>
      </c>
      <c r="E75" s="8">
        <f>'🥟 스낵·면·만두'!E221</f>
        <v>2000</v>
      </c>
      <c r="F75" s="8">
        <f>'🥟 스낵·면·만두'!F221</f>
        <v>625</v>
      </c>
      <c r="G75" s="8">
        <f>'🥟 스낵·면·만두'!G221</f>
        <v>1320.5941319601629</v>
      </c>
      <c r="H75" s="8">
        <f>'🥟 스낵·면·만두'!H221</f>
        <v>695.59413196016294</v>
      </c>
      <c r="I75" s="9">
        <f>'🥟 스낵·면·만두'!I221</f>
        <v>0.34779706598008148</v>
      </c>
      <c r="J75" s="8">
        <f>IFERROR('🥟 스낵·면·만두'!E221-'🥟 스낵·면·만두'!H221,"")</f>
        <v>1304.4058680398371</v>
      </c>
      <c r="K75" s="10" t="str">
        <f>'🥟 스낵·면·만두'!J221</f>
        <v>🔴 과다</v>
      </c>
    </row>
    <row r="76" spans="2:11" ht="18" customHeight="1">
      <c r="B76" s="11">
        <v>46</v>
      </c>
      <c r="C76" s="12" t="s">
        <v>86</v>
      </c>
      <c r="D76" s="13" t="s">
        <v>75</v>
      </c>
      <c r="E76" s="14">
        <f>'🥟 스낵·면·만두'!E242</f>
        <v>5000</v>
      </c>
      <c r="F76" s="14">
        <f>'🥟 스낵·면·만두'!F242</f>
        <v>1386.9999999999998</v>
      </c>
      <c r="G76" s="14">
        <f>'🥟 스낵·면·만두'!G242</f>
        <v>3301.4853299004076</v>
      </c>
      <c r="H76" s="14">
        <f>'🥟 스낵·면·만두'!H242</f>
        <v>1914.4853299004078</v>
      </c>
      <c r="I76" s="15">
        <f>'🥟 스낵·면·만두'!I242</f>
        <v>0.38289706598008155</v>
      </c>
      <c r="J76" s="14">
        <f>IFERROR('🥟 스낵·면·만두'!E242-'🥟 스낵·면·만두'!H242,"")</f>
        <v>3085.514670099592</v>
      </c>
      <c r="K76" s="16" t="str">
        <f>'🥟 스낵·면·만두'!J242</f>
        <v>🔴 과다</v>
      </c>
    </row>
    <row r="77" spans="2:11" ht="18" customHeight="1">
      <c r="B77" s="5">
        <v>41</v>
      </c>
      <c r="C77" s="6" t="s">
        <v>87</v>
      </c>
      <c r="D77" s="7" t="s">
        <v>75</v>
      </c>
      <c r="E77" s="8">
        <f>'🥟 스낵·면·만두'!E263</f>
        <v>9000</v>
      </c>
      <c r="F77" s="8">
        <f>'🥟 스낵·면·만두'!F263</f>
        <v>1218.3333333333335</v>
      </c>
      <c r="G77" s="8">
        <f>'🥟 스낵·면·만두'!G263</f>
        <v>5942.673593820733</v>
      </c>
      <c r="H77" s="8">
        <f>'🥟 스낵·면·만두'!H263</f>
        <v>4724.3402604873991</v>
      </c>
      <c r="I77" s="9">
        <f>'🥟 스낵·면·만두'!I263</f>
        <v>0.52492669560971106</v>
      </c>
      <c r="J77" s="8">
        <f>IFERROR('🥟 스낵·면·만두'!E263-'🥟 스낵·면·만두'!H263,"")</f>
        <v>4275.6597395126009</v>
      </c>
      <c r="K77" s="10" t="str">
        <f>'🥟 스낵·면·만두'!J263</f>
        <v>🔴 과다</v>
      </c>
    </row>
    <row r="78" spans="2:11" ht="15.75" customHeight="1">
      <c r="B78" s="175" t="s">
        <v>88</v>
      </c>
      <c r="C78" s="175"/>
      <c r="D78" s="175"/>
      <c r="E78" s="175"/>
      <c r="F78" s="175"/>
      <c r="G78" s="175"/>
      <c r="H78" s="175"/>
      <c r="I78" s="175"/>
      <c r="J78" s="175"/>
      <c r="K78" s="175"/>
    </row>
    <row r="79" spans="2:11" ht="18" customHeight="1">
      <c r="B79" s="5">
        <v>77</v>
      </c>
      <c r="C79" s="6" t="s">
        <v>89</v>
      </c>
      <c r="D79" s="7" t="s">
        <v>90</v>
      </c>
      <c r="E79" s="8">
        <f>'🫓 빵류'!E8</f>
        <v>4000</v>
      </c>
      <c r="F79" s="8">
        <f>'🫓 빵류'!F8</f>
        <v>238</v>
      </c>
      <c r="G79" s="8">
        <f>'🫓 빵류'!G8</f>
        <v>2641.1882639203259</v>
      </c>
      <c r="H79" s="8">
        <f>'🫓 빵류'!H8</f>
        <v>2403.1882639203259</v>
      </c>
      <c r="I79" s="9">
        <f>'🫓 빵류'!I8</f>
        <v>0.60079706598008142</v>
      </c>
      <c r="J79" s="8">
        <f>IFERROR('🫓 빵류'!E8-'🫓 빵류'!H8,"")</f>
        <v>1596.8117360796741</v>
      </c>
      <c r="K79" s="10" t="str">
        <f>'🫓 빵류'!J8</f>
        <v>🔴 과다</v>
      </c>
    </row>
    <row r="80" spans="2:11" ht="18" customHeight="1">
      <c r="B80" s="11">
        <v>78</v>
      </c>
      <c r="C80" s="12" t="s">
        <v>91</v>
      </c>
      <c r="D80" s="13" t="s">
        <v>90</v>
      </c>
      <c r="E80" s="14">
        <f>'🫓 빵류'!E29</f>
        <v>6000</v>
      </c>
      <c r="F80" s="14">
        <f>'🫓 빵류'!F29</f>
        <v>1973.125</v>
      </c>
      <c r="G80" s="14">
        <f>'🫓 빵류'!G29</f>
        <v>3961.7823958804888</v>
      </c>
      <c r="H80" s="14">
        <f>'🫓 빵류'!H29</f>
        <v>1988.6573958804888</v>
      </c>
      <c r="I80" s="15">
        <f>'🫓 빵류'!I29</f>
        <v>0.33144289931341481</v>
      </c>
      <c r="J80" s="14">
        <f>IFERROR('🫓 빵류'!E29-'🫓 빵류'!H29,"")</f>
        <v>4011.3426041195112</v>
      </c>
      <c r="K80" s="16" t="str">
        <f>'🫓 빵류'!J29</f>
        <v>🔴 과다</v>
      </c>
    </row>
    <row r="81" spans="2:11" ht="18" customHeight="1">
      <c r="B81" s="5">
        <v>80</v>
      </c>
      <c r="C81" s="6" t="s">
        <v>92</v>
      </c>
      <c r="D81" s="7" t="s">
        <v>90</v>
      </c>
      <c r="E81" s="8">
        <f>'🫓 빵류'!E50</f>
        <v>3000</v>
      </c>
      <c r="F81" s="8">
        <f>'🫓 빵류'!F50</f>
        <v>182.22435897435898</v>
      </c>
      <c r="G81" s="8">
        <f>'🫓 빵류'!G50</f>
        <v>1980.8911979402444</v>
      </c>
      <c r="H81" s="8">
        <f>'🫓 빵류'!H50</f>
        <v>1798.6668389658855</v>
      </c>
      <c r="I81" s="9">
        <f>'🫓 빵류'!I50</f>
        <v>0.59955561298862847</v>
      </c>
      <c r="J81" s="8">
        <f>IFERROR('🫓 빵류'!E50-'🫓 빵류'!H50,"")</f>
        <v>1201.3331610341145</v>
      </c>
      <c r="K81" s="10" t="str">
        <f>'🫓 빵류'!J50</f>
        <v>🔴 과다</v>
      </c>
    </row>
    <row r="82" spans="2:11" ht="18" customHeight="1">
      <c r="B82" s="11">
        <v>81</v>
      </c>
      <c r="C82" s="12" t="s">
        <v>93</v>
      </c>
      <c r="D82" s="13" t="s">
        <v>90</v>
      </c>
      <c r="E82" s="14">
        <f>'🫓 빵류'!E71</f>
        <v>3500</v>
      </c>
      <c r="F82" s="14">
        <f>'🫓 빵류'!F71</f>
        <v>439.72435897435901</v>
      </c>
      <c r="G82" s="14">
        <f>'🫓 빵류'!G71</f>
        <v>2311.0397309302853</v>
      </c>
      <c r="H82" s="14">
        <f>'🫓 빵류'!H71</f>
        <v>1871.3153719559264</v>
      </c>
      <c r="I82" s="15">
        <f>'🫓 빵류'!I71</f>
        <v>0.53466153484455037</v>
      </c>
      <c r="J82" s="14">
        <f>IFERROR('🫓 빵류'!E71-'🫓 빵류'!H71,"")</f>
        <v>1628.6846280440736</v>
      </c>
      <c r="K82" s="16" t="str">
        <f>'🫓 빵류'!J71</f>
        <v>🔴 과다</v>
      </c>
    </row>
    <row r="83" spans="2:11" ht="18" customHeight="1">
      <c r="B83" s="5">
        <v>82</v>
      </c>
      <c r="C83" s="6" t="s">
        <v>94</v>
      </c>
      <c r="D83" s="7" t="s">
        <v>90</v>
      </c>
      <c r="E83" s="8">
        <f>'🫓 빵류'!E92</f>
        <v>3500</v>
      </c>
      <c r="F83" s="8">
        <f>'🫓 빵류'!F92</f>
        <v>530.97435897435889</v>
      </c>
      <c r="G83" s="8">
        <f>'🫓 빵류'!G92</f>
        <v>2311.0397309302853</v>
      </c>
      <c r="H83" s="8">
        <f>'🫓 빵류'!H92</f>
        <v>1780.0653719559264</v>
      </c>
      <c r="I83" s="9">
        <f>'🫓 빵류'!I92</f>
        <v>0.50859010627312184</v>
      </c>
      <c r="J83" s="8">
        <f>IFERROR('🫓 빵류'!E92-'🫓 빵류'!H92,"")</f>
        <v>1719.9346280440736</v>
      </c>
      <c r="K83" s="10" t="str">
        <f>'🫓 빵류'!J92</f>
        <v>🔴 과다</v>
      </c>
    </row>
    <row r="84" spans="2:11" ht="18" customHeight="1">
      <c r="B84" s="11">
        <v>88</v>
      </c>
      <c r="C84" s="12" t="s">
        <v>95</v>
      </c>
      <c r="D84" s="13" t="s">
        <v>90</v>
      </c>
      <c r="E84" s="14">
        <f>'🫓 빵류'!E113</f>
        <v>5500</v>
      </c>
      <c r="F84" s="14">
        <f>'🫓 빵류'!F113</f>
        <v>870.91666666666663</v>
      </c>
      <c r="G84" s="14">
        <f>'🫓 빵류'!G113</f>
        <v>3631.6338628904482</v>
      </c>
      <c r="H84" s="14">
        <f>'🫓 빵류'!H113</f>
        <v>2760.7171962237817</v>
      </c>
      <c r="I84" s="15">
        <f>'🫓 빵류'!I113</f>
        <v>0.50194858113159668</v>
      </c>
      <c r="J84" s="14">
        <f>IFERROR('🫓 빵류'!E113-'🫓 빵류'!H113,"")</f>
        <v>2739.2828037762183</v>
      </c>
      <c r="K84" s="16" t="str">
        <f>'🫓 빵류'!J113</f>
        <v>🔴 과다</v>
      </c>
    </row>
    <row r="85" spans="2:11" ht="18" customHeight="1">
      <c r="B85" s="5">
        <v>89</v>
      </c>
      <c r="C85" s="6" t="s">
        <v>96</v>
      </c>
      <c r="D85" s="7" t="s">
        <v>90</v>
      </c>
      <c r="E85" s="8">
        <f>'🫓 빵류'!E134</f>
        <v>5500</v>
      </c>
      <c r="F85" s="8">
        <f>'🫓 빵류'!F134</f>
        <v>733.73903508771923</v>
      </c>
      <c r="G85" s="8">
        <f>'🫓 빵류'!G134</f>
        <v>3631.6338628904482</v>
      </c>
      <c r="H85" s="8">
        <f>'🫓 빵류'!H134</f>
        <v>2897.8948278027292</v>
      </c>
      <c r="I85" s="9">
        <f>'🫓 빵류'!I134</f>
        <v>0.52688996869140536</v>
      </c>
      <c r="J85" s="8">
        <f>IFERROR('🫓 빵류'!E134-'🫓 빵류'!H134,"")</f>
        <v>2602.1051721972708</v>
      </c>
      <c r="K85" s="10" t="str">
        <f>'🫓 빵류'!J134</f>
        <v>🔴 과다</v>
      </c>
    </row>
    <row r="86" spans="2:11" ht="15.75" customHeight="1">
      <c r="B86" s="176" t="s">
        <v>97</v>
      </c>
      <c r="C86" s="176"/>
      <c r="D86" s="176"/>
      <c r="E86" s="176"/>
      <c r="F86" s="176"/>
      <c r="G86" s="176"/>
      <c r="H86" s="176"/>
      <c r="I86" s="176"/>
      <c r="J86" s="176"/>
      <c r="K86" s="176"/>
    </row>
    <row r="87" spans="2:11" ht="18" customHeight="1">
      <c r="B87" s="5">
        <v>54</v>
      </c>
      <c r="C87" s="6" t="s">
        <v>98</v>
      </c>
      <c r="D87" s="7" t="s">
        <v>99</v>
      </c>
      <c r="E87" s="8">
        <f>'🍚 밥·스프·샐러드'!E8</f>
        <v>5000</v>
      </c>
      <c r="F87" s="8">
        <f>'🍚 밥·스프·샐러드'!F8</f>
        <v>25.5</v>
      </c>
      <c r="G87" s="8">
        <f>'🍚 밥·스프·샐러드'!G8</f>
        <v>3301.4853299004076</v>
      </c>
      <c r="H87" s="8">
        <f>'🍚 밥·스프·샐러드'!H8</f>
        <v>3275.9853299004076</v>
      </c>
      <c r="I87" s="9">
        <f>'🍚 밥·스프·샐러드'!I8</f>
        <v>0.65519706598008154</v>
      </c>
      <c r="J87" s="8">
        <f>IFERROR('🍚 밥·스프·샐러드'!E8-'🍚 밥·스프·샐러드'!H8,"")</f>
        <v>1724.0146700995924</v>
      </c>
      <c r="K87" s="10" t="str">
        <f>'🍚 밥·스프·샐러드'!J8</f>
        <v>🔴 과다</v>
      </c>
    </row>
    <row r="88" spans="2:11" ht="18" customHeight="1">
      <c r="B88" s="11">
        <v>55</v>
      </c>
      <c r="C88" s="12" t="s">
        <v>100</v>
      </c>
      <c r="D88" s="13" t="s">
        <v>99</v>
      </c>
      <c r="E88" s="14">
        <f>'🍚 밥·스프·샐러드'!E29</f>
        <v>5000</v>
      </c>
      <c r="F88" s="14">
        <f>'🍚 밥·스프·샐러드'!F29</f>
        <v>174</v>
      </c>
      <c r="G88" s="14">
        <f>'🍚 밥·스프·샐러드'!G29</f>
        <v>3301.4853299004076</v>
      </c>
      <c r="H88" s="14">
        <f>'🍚 밥·스프·샐러드'!H29</f>
        <v>3127.4853299004076</v>
      </c>
      <c r="I88" s="15">
        <f>'🍚 밥·스프·샐러드'!I29</f>
        <v>0.62549706598008148</v>
      </c>
      <c r="J88" s="14">
        <f>IFERROR('🍚 밥·스프·샐러드'!E29-'🍚 밥·스프·샐러드'!H29,"")</f>
        <v>1872.5146700995924</v>
      </c>
      <c r="K88" s="16" t="str">
        <f>'🍚 밥·스프·샐러드'!J29</f>
        <v>🔴 과다</v>
      </c>
    </row>
    <row r="89" spans="2:11" ht="18" customHeight="1">
      <c r="B89" s="5">
        <v>56</v>
      </c>
      <c r="C89" s="6" t="s">
        <v>101</v>
      </c>
      <c r="D89" s="7" t="s">
        <v>99</v>
      </c>
      <c r="E89" s="8">
        <f>'🍚 밥·스프·샐러드'!E50</f>
        <v>5000</v>
      </c>
      <c r="F89" s="8">
        <f>'🍚 밥·스프·샐러드'!F50</f>
        <v>251.75213675213678</v>
      </c>
      <c r="G89" s="8">
        <f>'🍚 밥·스프·샐러드'!G50</f>
        <v>3301.4853299004076</v>
      </c>
      <c r="H89" s="8">
        <f>'🍚 밥·스프·샐러드'!H50</f>
        <v>3049.7331931482709</v>
      </c>
      <c r="I89" s="9">
        <f>'🍚 밥·스프·샐러드'!I50</f>
        <v>0.60994663862965415</v>
      </c>
      <c r="J89" s="8">
        <f>IFERROR('🍚 밥·스프·샐러드'!E50-'🍚 밥·스프·샐러드'!H50,"")</f>
        <v>1950.2668068517291</v>
      </c>
      <c r="K89" s="10" t="str">
        <f>'🍚 밥·스프·샐러드'!J50</f>
        <v>🔴 과다</v>
      </c>
    </row>
    <row r="90" spans="2:11" ht="18" customHeight="1">
      <c r="B90" s="11">
        <v>57</v>
      </c>
      <c r="C90" s="12" t="s">
        <v>102</v>
      </c>
      <c r="D90" s="13" t="s">
        <v>99</v>
      </c>
      <c r="E90" s="14">
        <f>'🍚 밥·스프·샐러드'!E71</f>
        <v>19000</v>
      </c>
      <c r="F90" s="14">
        <f>'🍚 밥·스프·샐러드'!F71</f>
        <v>1112.6398518751971</v>
      </c>
      <c r="G90" s="14">
        <f>'🍚 밥·스프·샐러드'!G71</f>
        <v>12545.644253621549</v>
      </c>
      <c r="H90" s="14">
        <f>'🍚 밥·스프·샐러드'!H71</f>
        <v>11433.004401746352</v>
      </c>
      <c r="I90" s="15">
        <f>'🍚 밥·스프·샐러드'!I71</f>
        <v>0.60173707377612373</v>
      </c>
      <c r="J90" s="14">
        <f>IFERROR('🍚 밥·스프·샐러드'!E71-'🍚 밥·스프·샐러드'!H71,"")</f>
        <v>7566.9955982536485</v>
      </c>
      <c r="K90" s="16" t="str">
        <f>'🍚 밥·스프·샐러드'!J71</f>
        <v>🔴 과다</v>
      </c>
    </row>
    <row r="91" spans="2:11" ht="18" customHeight="1">
      <c r="B91" s="5">
        <v>58</v>
      </c>
      <c r="C91" s="6" t="s">
        <v>103</v>
      </c>
      <c r="D91" s="7" t="s">
        <v>99</v>
      </c>
      <c r="E91" s="8">
        <f>'🍚 밥·스프·샐러드'!E95</f>
        <v>8000</v>
      </c>
      <c r="F91" s="8">
        <f>'🍚 밥·스프·샐러드'!F95</f>
        <v>1118.3333333333335</v>
      </c>
      <c r="G91" s="8">
        <f>'🍚 밥·스프·샐러드'!G95</f>
        <v>5282.3765278406518</v>
      </c>
      <c r="H91" s="8">
        <f>'🍚 밥·스프·샐러드'!H95</f>
        <v>4164.0431945073178</v>
      </c>
      <c r="I91" s="9">
        <f>'🍚 밥·스프·샐러드'!I95</f>
        <v>0.52050539931341477</v>
      </c>
      <c r="J91" s="8">
        <f>IFERROR('🍚 밥·스프·샐러드'!E95-'🍚 밥·스프·샐러드'!H95,"")</f>
        <v>3835.9568054926822</v>
      </c>
      <c r="K91" s="10" t="str">
        <f>'🍚 밥·스프·샐러드'!J95</f>
        <v>🔴 과다</v>
      </c>
    </row>
    <row r="92" spans="2:11" ht="18" customHeight="1">
      <c r="B92" s="11">
        <v>57</v>
      </c>
      <c r="C92" s="12" t="s">
        <v>104</v>
      </c>
      <c r="D92" s="13" t="s">
        <v>99</v>
      </c>
      <c r="E92" s="14">
        <f>'🍚 밥·스프·샐러드'!E116</f>
        <v>10000</v>
      </c>
      <c r="F92" s="14">
        <f>'🍚 밥·스프·샐러드'!F116</f>
        <v>0</v>
      </c>
      <c r="G92" s="14">
        <f>'🍚 밥·스프·샐러드'!G116</f>
        <v>6602.9706598008152</v>
      </c>
      <c r="H92" s="14">
        <f>'🍚 밥·스프·샐러드'!H116</f>
        <v>6602.9706598008152</v>
      </c>
      <c r="I92" s="15">
        <f>'🍚 밥·스프·샐러드'!I116</f>
        <v>0.66029706598008153</v>
      </c>
      <c r="J92" s="14">
        <f>IFERROR('🍚 밥·스프·샐러드'!E116-'🍚 밥·스프·샐러드'!H116,"")</f>
        <v>3397.0293401991848</v>
      </c>
      <c r="K92" s="16" t="str">
        <f>'🍚 밥·스프·샐러드'!J116</f>
        <v>🔴 과다</v>
      </c>
    </row>
    <row r="93" spans="2:11" ht="15.75" customHeight="1">
      <c r="B93" s="177" t="s">
        <v>105</v>
      </c>
      <c r="C93" s="177"/>
      <c r="D93" s="177"/>
      <c r="E93" s="177"/>
      <c r="F93" s="177"/>
      <c r="G93" s="177"/>
      <c r="H93" s="177"/>
      <c r="I93" s="177"/>
      <c r="J93" s="177"/>
      <c r="K93" s="177"/>
    </row>
    <row r="94" spans="2:11" ht="18" customHeight="1">
      <c r="B94" s="5">
        <v>59</v>
      </c>
      <c r="C94" s="6" t="s">
        <v>106</v>
      </c>
      <c r="D94" s="7" t="s">
        <v>107</v>
      </c>
      <c r="E94" s="8">
        <f>'🍮 디저트'!E8</f>
        <v>2000</v>
      </c>
      <c r="F94" s="8">
        <f>'🍮 디저트'!F8</f>
        <v>275</v>
      </c>
      <c r="G94" s="8">
        <f>'🍮 디저트'!G8</f>
        <v>1320.5941319601629</v>
      </c>
      <c r="H94" s="8">
        <f>'🍮 디저트'!H8</f>
        <v>1045.5941319601629</v>
      </c>
      <c r="I94" s="9">
        <f>'🍮 디저트'!I8</f>
        <v>0.52279706598008147</v>
      </c>
      <c r="J94" s="8">
        <f>IFERROR('🍮 디저트'!E8-'🍮 디저트'!H8,"")</f>
        <v>954.40586803983706</v>
      </c>
      <c r="K94" s="10" t="str">
        <f>'🍮 디저트'!J8</f>
        <v>🔴 과다</v>
      </c>
    </row>
    <row r="95" spans="2:11" ht="18" customHeight="1">
      <c r="B95" s="11">
        <v>60</v>
      </c>
      <c r="C95" s="12" t="s">
        <v>108</v>
      </c>
      <c r="D95" s="13" t="s">
        <v>107</v>
      </c>
      <c r="E95" s="14">
        <f>'🍮 디저트'!E29</f>
        <v>2000</v>
      </c>
      <c r="F95" s="14">
        <f>'🍮 디저트'!F29</f>
        <v>260</v>
      </c>
      <c r="G95" s="14">
        <f>'🍮 디저트'!G29</f>
        <v>1320.5941319601629</v>
      </c>
      <c r="H95" s="14">
        <f>'🍮 디저트'!H29</f>
        <v>1060.5941319601629</v>
      </c>
      <c r="I95" s="15">
        <f>'🍮 디저트'!I29</f>
        <v>0.53029706598008142</v>
      </c>
      <c r="J95" s="14">
        <f>IFERROR('🍮 디저트'!E29-'🍮 디저트'!H29,"")</f>
        <v>939.40586803983706</v>
      </c>
      <c r="K95" s="16" t="str">
        <f>'🍮 디저트'!J29</f>
        <v>🔴 과다</v>
      </c>
    </row>
    <row r="96" spans="2:11" ht="18" customHeight="1">
      <c r="B96" s="5">
        <v>61</v>
      </c>
      <c r="C96" s="6" t="s">
        <v>109</v>
      </c>
      <c r="D96" s="7" t="s">
        <v>107</v>
      </c>
      <c r="E96" s="8">
        <f>'🍮 디저트'!E50</f>
        <v>6000</v>
      </c>
      <c r="F96" s="8">
        <f>'🍮 디저트'!F50</f>
        <v>0</v>
      </c>
      <c r="G96" s="8">
        <f>'🍮 디저트'!G50</f>
        <v>3961.7823958804888</v>
      </c>
      <c r="H96" s="8">
        <f>'🍮 디저트'!H50</f>
        <v>3961.7823958804888</v>
      </c>
      <c r="I96" s="9">
        <f>'🍮 디저트'!I50</f>
        <v>0.66029706598008142</v>
      </c>
      <c r="J96" s="8">
        <f>IFERROR('🍮 디저트'!E50-'🍮 디저트'!H50,"")</f>
        <v>2038.2176041195112</v>
      </c>
      <c r="K96" s="10" t="str">
        <f>'🍮 디저트'!J50</f>
        <v>🔴 과다</v>
      </c>
    </row>
    <row r="97" spans="2:11" ht="15.75" customHeight="1">
      <c r="B97" s="170" t="s">
        <v>110</v>
      </c>
      <c r="C97" s="170"/>
      <c r="D97" s="170"/>
      <c r="E97" s="170"/>
      <c r="F97" s="170"/>
      <c r="G97" s="170"/>
      <c r="H97" s="170"/>
      <c r="I97" s="170"/>
      <c r="J97" s="170"/>
      <c r="K97" s="170"/>
    </row>
    <row r="98" spans="2:11" ht="18" customHeight="1">
      <c r="B98" s="5">
        <v>65</v>
      </c>
      <c r="C98" s="6" t="s">
        <v>111</v>
      </c>
      <c r="D98" s="7" t="s">
        <v>112</v>
      </c>
      <c r="E98" s="8">
        <f>'🥤 음료'!E8</f>
        <v>3500</v>
      </c>
      <c r="F98" s="8">
        <f>'🥤 음료'!F8</f>
        <v>27.666666666666664</v>
      </c>
      <c r="G98" s="8">
        <f>'🥤 음료'!G8</f>
        <v>2311.0397309302853</v>
      </c>
      <c r="H98" s="8">
        <f>'🥤 음료'!H8</f>
        <v>2283.3730642636187</v>
      </c>
      <c r="I98" s="9">
        <f>'🥤 음료'!I8</f>
        <v>0.65239230407531967</v>
      </c>
      <c r="J98" s="8">
        <f>IFERROR('🥤 음료'!E8-'🥤 음료'!H8,"")</f>
        <v>1216.6269357363813</v>
      </c>
      <c r="K98" s="10" t="str">
        <f>'🥤 음료'!J8</f>
        <v>🔴 과다</v>
      </c>
    </row>
    <row r="99" spans="2:11" ht="18" customHeight="1">
      <c r="B99" s="11">
        <v>66</v>
      </c>
      <c r="C99" s="12" t="s">
        <v>113</v>
      </c>
      <c r="D99" s="13" t="s">
        <v>112</v>
      </c>
      <c r="E99" s="14">
        <f>'🥤 음료'!E29</f>
        <v>4000</v>
      </c>
      <c r="F99" s="14">
        <f>'🥤 음료'!F29</f>
        <v>26.666666666666664</v>
      </c>
      <c r="G99" s="14">
        <f>'🥤 음료'!G29</f>
        <v>2641.1882639203259</v>
      </c>
      <c r="H99" s="14">
        <f>'🥤 음료'!H29</f>
        <v>2614.5215972536594</v>
      </c>
      <c r="I99" s="15">
        <f>'🥤 음료'!I29</f>
        <v>0.65363039931341482</v>
      </c>
      <c r="J99" s="14">
        <f>IFERROR('🥤 음료'!E29-'🥤 음료'!H29,"")</f>
        <v>1385.4784027463406</v>
      </c>
      <c r="K99" s="16" t="str">
        <f>'🥤 음료'!J29</f>
        <v>🔴 과다</v>
      </c>
    </row>
    <row r="100" spans="2:11" ht="18" customHeight="1">
      <c r="B100" s="5">
        <v>67</v>
      </c>
      <c r="C100" s="6" t="s">
        <v>114</v>
      </c>
      <c r="D100" s="7" t="s">
        <v>112</v>
      </c>
      <c r="E100" s="8">
        <f>'🥤 음료'!E50</f>
        <v>4000</v>
      </c>
      <c r="F100" s="8">
        <f>'🥤 음료'!F50</f>
        <v>0</v>
      </c>
      <c r="G100" s="8">
        <f>'🥤 음료'!G50</f>
        <v>2641.1882639203259</v>
      </c>
      <c r="H100" s="8">
        <f>'🥤 음료'!H50</f>
        <v>2641.1882639203259</v>
      </c>
      <c r="I100" s="9">
        <f>'🥤 음료'!I50</f>
        <v>0.66029706598008142</v>
      </c>
      <c r="J100" s="8">
        <f>IFERROR('🥤 음료'!E50-'🥤 음료'!H50,"")</f>
        <v>1358.8117360796741</v>
      </c>
      <c r="K100" s="10" t="str">
        <f>'🥤 음료'!J50</f>
        <v>🔴 과다</v>
      </c>
    </row>
    <row r="101" spans="2:11" ht="18" customHeight="1">
      <c r="B101" s="11">
        <v>68</v>
      </c>
      <c r="C101" s="12" t="s">
        <v>115</v>
      </c>
      <c r="D101" s="13" t="s">
        <v>112</v>
      </c>
      <c r="E101" s="14">
        <f>'🥤 음료'!E71</f>
        <v>4000</v>
      </c>
      <c r="F101" s="14">
        <f>'🥤 음료'!F71</f>
        <v>26.666666666666664</v>
      </c>
      <c r="G101" s="14">
        <f>'🥤 음료'!G71</f>
        <v>2641.1882639203259</v>
      </c>
      <c r="H101" s="14">
        <f>'🥤 음료'!H71</f>
        <v>2614.5215972536594</v>
      </c>
      <c r="I101" s="15">
        <f>'🥤 음료'!I71</f>
        <v>0.65363039931341482</v>
      </c>
      <c r="J101" s="14">
        <f>IFERROR('🥤 음료'!E71-'🥤 음료'!H71,"")</f>
        <v>1385.4784027463406</v>
      </c>
      <c r="K101" s="16" t="str">
        <f>'🥤 음료'!J71</f>
        <v>🔴 과다</v>
      </c>
    </row>
    <row r="102" spans="2:11" ht="18" customHeight="1">
      <c r="B102" s="5">
        <v>69</v>
      </c>
      <c r="C102" s="6" t="s">
        <v>116</v>
      </c>
      <c r="D102" s="7" t="s">
        <v>112</v>
      </c>
      <c r="E102" s="8">
        <f>'🥤 음료'!E92</f>
        <v>4000</v>
      </c>
      <c r="F102" s="8">
        <f>'🥤 음료'!F92</f>
        <v>212.05555555555554</v>
      </c>
      <c r="G102" s="8">
        <f>'🥤 음료'!G92</f>
        <v>2641.1882639203259</v>
      </c>
      <c r="H102" s="8">
        <f>'🥤 음료'!H92</f>
        <v>2853.2438194758815</v>
      </c>
      <c r="I102" s="9">
        <f>'🥤 음료'!I92</f>
        <v>0.71331095486897034</v>
      </c>
      <c r="J102" s="8">
        <f>IFERROR('🥤 음료'!E92-'🥤 음료'!H92,"")</f>
        <v>1146.7561805241185</v>
      </c>
      <c r="K102" s="10" t="str">
        <f>'🥤 음료'!J92</f>
        <v>🔴 과다</v>
      </c>
    </row>
    <row r="103" spans="2:11" ht="18" customHeight="1">
      <c r="B103" s="11">
        <v>70</v>
      </c>
      <c r="C103" s="12" t="s">
        <v>117</v>
      </c>
      <c r="D103" s="13" t="s">
        <v>112</v>
      </c>
      <c r="E103" s="14">
        <f>'🥤 음료'!E113</f>
        <v>4000</v>
      </c>
      <c r="F103" s="14">
        <f>'🥤 음료'!F113</f>
        <v>292.05555555555554</v>
      </c>
      <c r="G103" s="14">
        <f>'🥤 음료'!G113</f>
        <v>2641.1882639203259</v>
      </c>
      <c r="H103" s="14">
        <f>'🥤 음료'!H113</f>
        <v>2349.1327083647702</v>
      </c>
      <c r="I103" s="15">
        <f>'🥤 음료'!I113</f>
        <v>0.5872831770911926</v>
      </c>
      <c r="J103" s="14">
        <f>IFERROR('🥤 음료'!E113-'🥤 음료'!H113,"")</f>
        <v>1650.8672916352298</v>
      </c>
      <c r="K103" s="16" t="str">
        <f>'🥤 음료'!J113</f>
        <v>🔴 과다</v>
      </c>
    </row>
    <row r="104" spans="2:11" ht="18" customHeight="1">
      <c r="B104" s="5">
        <v>71</v>
      </c>
      <c r="C104" s="6" t="s">
        <v>118</v>
      </c>
      <c r="D104" s="7" t="s">
        <v>112</v>
      </c>
      <c r="E104" s="8">
        <f>'🥤 음료'!E134</f>
        <v>6000</v>
      </c>
      <c r="F104" s="8">
        <f>'🥤 음료'!F134</f>
        <v>0</v>
      </c>
      <c r="G104" s="8">
        <f>'🥤 음료'!G134</f>
        <v>3961.7823958804888</v>
      </c>
      <c r="H104" s="8">
        <f>'🥤 음료'!H134</f>
        <v>3961.7823958804888</v>
      </c>
      <c r="I104" s="9">
        <f>'🥤 음료'!I134</f>
        <v>0.66029706598008142</v>
      </c>
      <c r="J104" s="8">
        <f>IFERROR('🥤 음료'!E134-'🥤 음료'!H134,"")</f>
        <v>2038.2176041195112</v>
      </c>
      <c r="K104" s="10" t="str">
        <f>'🥤 음료'!J134</f>
        <v>🔴 과다</v>
      </c>
    </row>
    <row r="105" spans="2:11" ht="18" customHeight="1">
      <c r="B105" s="11">
        <v>72</v>
      </c>
      <c r="C105" s="12" t="s">
        <v>119</v>
      </c>
      <c r="D105" s="13" t="s">
        <v>112</v>
      </c>
      <c r="E105" s="14">
        <f>'🥤 음료'!E155</f>
        <v>6000</v>
      </c>
      <c r="F105" s="14">
        <f>'🥤 음료'!F155</f>
        <v>0</v>
      </c>
      <c r="G105" s="14">
        <f>'🥤 음료'!G155</f>
        <v>3961.7823958804888</v>
      </c>
      <c r="H105" s="14">
        <f>'🥤 음료'!H155</f>
        <v>3961.7823958804888</v>
      </c>
      <c r="I105" s="15">
        <f>'🥤 음료'!I155</f>
        <v>0.66029706598008142</v>
      </c>
      <c r="J105" s="14">
        <f>IFERROR('🥤 음료'!E155-'🥤 음료'!H155,"")</f>
        <v>2038.2176041195112</v>
      </c>
      <c r="K105" s="16" t="str">
        <f>'🥤 음료'!J155</f>
        <v>🔴 과다</v>
      </c>
    </row>
    <row r="106" spans="2:11" ht="18" customHeight="1">
      <c r="B106" s="5">
        <v>71</v>
      </c>
      <c r="C106" s="6" t="s">
        <v>120</v>
      </c>
      <c r="D106" s="7" t="s">
        <v>112</v>
      </c>
      <c r="E106" s="8">
        <f>'🥤 음료'!E176</f>
        <v>3000</v>
      </c>
      <c r="F106" s="8">
        <f>'🥤 음료'!F176</f>
        <v>0</v>
      </c>
      <c r="G106" s="8">
        <f>'🥤 음료'!G176</f>
        <v>1980.8911979402444</v>
      </c>
      <c r="H106" s="8">
        <f>'🥤 음료'!H176</f>
        <v>1980.8911979402444</v>
      </c>
      <c r="I106" s="9">
        <f>'🥤 음료'!I176</f>
        <v>0.66029706598008142</v>
      </c>
      <c r="J106" s="8">
        <f>IFERROR('🥤 음료'!E176-'🥤 음료'!H176,"")</f>
        <v>1019.1088020597556</v>
      </c>
      <c r="K106" s="10" t="str">
        <f>'🥤 음료'!J176</f>
        <v>🔴 과다</v>
      </c>
    </row>
    <row r="107" spans="2:11" ht="18" customHeight="1">
      <c r="B107" s="11">
        <v>72</v>
      </c>
      <c r="C107" s="12" t="s">
        <v>121</v>
      </c>
      <c r="D107" s="13" t="s">
        <v>112</v>
      </c>
      <c r="E107" s="14">
        <f>'🥤 음료'!E197</f>
        <v>3000</v>
      </c>
      <c r="F107" s="14">
        <f>'🥤 음료'!F197</f>
        <v>0</v>
      </c>
      <c r="G107" s="14">
        <f>'🥤 음료'!G197</f>
        <v>1980.8911979402444</v>
      </c>
      <c r="H107" s="14">
        <f>'🥤 음료'!H197</f>
        <v>1980.8911979402444</v>
      </c>
      <c r="I107" s="15">
        <f>'🥤 음료'!I197</f>
        <v>0.66029706598008142</v>
      </c>
      <c r="J107" s="14">
        <f>IFERROR('🥤 음료'!E197-'🥤 음료'!H197,"")</f>
        <v>1019.1088020597556</v>
      </c>
      <c r="K107" s="16" t="str">
        <f>'🥤 음료'!J197</f>
        <v>🔴 과다</v>
      </c>
    </row>
    <row r="108" spans="2:11" ht="15.75" customHeight="1">
      <c r="B108" s="171" t="s">
        <v>122</v>
      </c>
      <c r="C108" s="171"/>
      <c r="D108" s="171"/>
      <c r="E108" s="171"/>
      <c r="F108" s="171"/>
      <c r="G108" s="171"/>
      <c r="H108" s="171"/>
      <c r="I108" s="171"/>
      <c r="J108" s="171"/>
      <c r="K108" s="171"/>
    </row>
    <row r="109" spans="2:11" ht="18" customHeight="1">
      <c r="B109" s="5">
        <v>62</v>
      </c>
      <c r="C109" s="17" t="s">
        <v>123</v>
      </c>
      <c r="D109" s="7" t="s">
        <v>124</v>
      </c>
      <c r="E109" s="8">
        <f>'🍽 세트메뉴'!E8</f>
        <v>32000</v>
      </c>
      <c r="F109" s="8">
        <f>'🍽 세트메뉴'!F8</f>
        <v>0</v>
      </c>
      <c r="G109" s="8">
        <f>'🍽 세트메뉴'!G8</f>
        <v>21129.506111362607</v>
      </c>
      <c r="H109" s="8">
        <f>'🍽 세트메뉴'!H8</f>
        <v>21129.506111362607</v>
      </c>
      <c r="I109" s="9">
        <f>'🍽 세트메뉴'!I8</f>
        <v>0.66029706598008142</v>
      </c>
      <c r="J109" s="8">
        <f>IFERROR('🍽 세트메뉴'!E8-'🍽 세트메뉴'!H8,"")</f>
        <v>10870.493888637393</v>
      </c>
      <c r="K109" s="10" t="str">
        <f>'🍽 세트메뉴'!J8</f>
        <v>🔴 과다</v>
      </c>
    </row>
    <row r="110" spans="2:11" ht="18" customHeight="1">
      <c r="B110" s="11">
        <v>63</v>
      </c>
      <c r="C110" s="18" t="s">
        <v>125</v>
      </c>
      <c r="D110" s="13" t="s">
        <v>124</v>
      </c>
      <c r="E110" s="14">
        <f>'🍽 세트메뉴'!E29</f>
        <v>57000</v>
      </c>
      <c r="F110" s="14">
        <f>'🍽 세트메뉴'!F29</f>
        <v>0</v>
      </c>
      <c r="G110" s="14">
        <f>'🍽 세트메뉴'!G29</f>
        <v>37636.932760864642</v>
      </c>
      <c r="H110" s="14">
        <f>'🍽 세트메뉴'!H29</f>
        <v>37636.932760864642</v>
      </c>
      <c r="I110" s="15">
        <f>'🍽 세트메뉴'!I29</f>
        <v>0.66029706598008142</v>
      </c>
      <c r="J110" s="14">
        <f>IFERROR('🍽 세트메뉴'!E29-'🍽 세트메뉴'!H29,"")</f>
        <v>19363.067239135358</v>
      </c>
      <c r="K110" s="16" t="str">
        <f>'🍽 세트메뉴'!J29</f>
        <v>🔴 과다</v>
      </c>
    </row>
    <row r="111" spans="2:11" ht="18" customHeight="1">
      <c r="B111" s="5">
        <v>64</v>
      </c>
      <c r="C111" s="17" t="s">
        <v>126</v>
      </c>
      <c r="D111" s="7" t="s">
        <v>124</v>
      </c>
      <c r="E111" s="8">
        <f>'🍽 세트메뉴'!E50</f>
        <v>71000</v>
      </c>
      <c r="F111" s="8">
        <f>'🍽 세트메뉴'!F50</f>
        <v>0</v>
      </c>
      <c r="G111" s="8">
        <f>'🍽 세트메뉴'!G50</f>
        <v>46881.091684585786</v>
      </c>
      <c r="H111" s="8">
        <f>'🍽 세트메뉴'!H50</f>
        <v>46881.091684585786</v>
      </c>
      <c r="I111" s="9">
        <f>'🍽 세트메뉴'!I50</f>
        <v>0.66029706598008153</v>
      </c>
      <c r="J111" s="8">
        <f>IFERROR('🍽 세트메뉴'!E50-'🍽 세트메뉴'!H50,"")</f>
        <v>24118.908315414214</v>
      </c>
      <c r="K111" s="10" t="str">
        <f>'🍽 세트메뉴'!J50</f>
        <v>🔴 과다</v>
      </c>
    </row>
    <row r="112" spans="2:11" ht="6" customHeight="1"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spans="2:11" ht="18" customHeight="1">
      <c r="B113" s="172" t="s">
        <v>127</v>
      </c>
      <c r="C113" s="172"/>
      <c r="D113" s="172"/>
      <c r="E113" s="172"/>
      <c r="F113" s="172"/>
      <c r="G113" s="172"/>
      <c r="H113" s="172"/>
      <c r="I113" s="172"/>
      <c r="J113" s="172"/>
      <c r="K113" s="172"/>
    </row>
  </sheetData>
  <mergeCells count="26">
    <mergeCell ref="B2:K2"/>
    <mergeCell ref="B5:C5"/>
    <mergeCell ref="D5:E5"/>
    <mergeCell ref="F5:G5"/>
    <mergeCell ref="H5:K5"/>
    <mergeCell ref="B6:C6"/>
    <mergeCell ref="D6:E6"/>
    <mergeCell ref="F6:G6"/>
    <mergeCell ref="H6:K6"/>
    <mergeCell ref="B7:C7"/>
    <mergeCell ref="D7:E7"/>
    <mergeCell ref="F7:G7"/>
    <mergeCell ref="H7:K7"/>
    <mergeCell ref="B10:K10"/>
    <mergeCell ref="B12:K12"/>
    <mergeCell ref="B27:K27"/>
    <mergeCell ref="B35:K35"/>
    <mergeCell ref="B40:K40"/>
    <mergeCell ref="B97:K97"/>
    <mergeCell ref="B108:K108"/>
    <mergeCell ref="B113:K113"/>
    <mergeCell ref="B54:K54"/>
    <mergeCell ref="B64:K64"/>
    <mergeCell ref="B78:K78"/>
    <mergeCell ref="B86:K86"/>
    <mergeCell ref="B93:K93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6B58"/>
  </sheetPr>
  <dimension ref="A1:K125"/>
  <sheetViews>
    <sheetView showGridLines="0" tabSelected="1" zoomScaleNormal="100" workbookViewId="0">
      <pane xSplit="2" ySplit="6" topLeftCell="C112" activePane="bottomRight" state="frozen"/>
      <selection pane="topRight" activeCell="C1" sqref="C1"/>
      <selection pane="bottomLeft" activeCell="A7" sqref="A7"/>
      <selection pane="bottomRight" activeCell="C126" sqref="C126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16" style="1" customWidth="1"/>
    <col min="5" max="5" width="11" style="1" customWidth="1"/>
    <col min="6" max="6" width="6" style="1" customWidth="1"/>
    <col min="7" max="7" width="13" style="1" customWidth="1"/>
    <col min="8" max="8" width="15" style="1" customWidth="1"/>
    <col min="9" max="9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196" t="s">
        <v>128</v>
      </c>
      <c r="C2" s="196"/>
      <c r="D2" s="196"/>
      <c r="E2" s="196"/>
      <c r="F2" s="196"/>
      <c r="G2" s="196"/>
      <c r="H2" s="196"/>
      <c r="I2" s="196"/>
      <c r="J2" s="196"/>
      <c r="K2" s="196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129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6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21.75" customHeight="1">
      <c r="B6" s="20" t="s">
        <v>6</v>
      </c>
      <c r="C6" s="21" t="s">
        <v>130</v>
      </c>
      <c r="D6" s="21" t="s">
        <v>131</v>
      </c>
      <c r="E6" s="21" t="s">
        <v>132</v>
      </c>
      <c r="F6" s="21" t="s">
        <v>133</v>
      </c>
      <c r="G6" s="21" t="s">
        <v>134</v>
      </c>
      <c r="H6" s="20" t="s">
        <v>135</v>
      </c>
    </row>
    <row r="7" spans="2:11" ht="16.5" customHeight="1">
      <c r="B7" s="5">
        <v>1</v>
      </c>
      <c r="C7" s="22" t="s">
        <v>136</v>
      </c>
      <c r="D7" s="23">
        <v>15000</v>
      </c>
      <c r="E7" s="24">
        <v>20</v>
      </c>
      <c r="F7" s="5" t="s">
        <v>137</v>
      </c>
      <c r="G7" s="8">
        <v>20000</v>
      </c>
      <c r="H7" s="25">
        <f t="shared" ref="H7:H38" si="0">IF(G7&gt;0,D7/G7,0)</f>
        <v>0.75</v>
      </c>
    </row>
    <row r="8" spans="2:11" ht="16.5" customHeight="1">
      <c r="B8" s="26">
        <v>2</v>
      </c>
      <c r="C8" s="27" t="s">
        <v>138</v>
      </c>
      <c r="D8" s="23">
        <v>25000</v>
      </c>
      <c r="E8" s="28">
        <v>20</v>
      </c>
      <c r="F8" s="26" t="s">
        <v>137</v>
      </c>
      <c r="G8" s="29">
        <v>20000</v>
      </c>
      <c r="H8" s="25">
        <f t="shared" si="0"/>
        <v>1.25</v>
      </c>
    </row>
    <row r="9" spans="2:11" ht="16.5" customHeight="1">
      <c r="B9" s="5">
        <v>3</v>
      </c>
      <c r="C9" s="22" t="s">
        <v>139</v>
      </c>
      <c r="D9" s="23">
        <v>62000</v>
      </c>
      <c r="E9" s="24">
        <v>20</v>
      </c>
      <c r="F9" s="5" t="s">
        <v>137</v>
      </c>
      <c r="G9" s="8">
        <v>20000</v>
      </c>
      <c r="H9" s="25">
        <f t="shared" si="0"/>
        <v>3.1</v>
      </c>
    </row>
    <row r="10" spans="2:11" ht="16.5" customHeight="1">
      <c r="B10" s="26">
        <v>4</v>
      </c>
      <c r="C10" s="27" t="s">
        <v>140</v>
      </c>
      <c r="D10" s="23">
        <v>14000</v>
      </c>
      <c r="E10" s="28">
        <v>15</v>
      </c>
      <c r="F10" s="26" t="s">
        <v>137</v>
      </c>
      <c r="G10" s="29">
        <v>15000</v>
      </c>
      <c r="H10" s="25">
        <f t="shared" si="0"/>
        <v>0.93333333333333335</v>
      </c>
    </row>
    <row r="11" spans="2:11" ht="16.5" customHeight="1">
      <c r="B11" s="5">
        <v>5</v>
      </c>
      <c r="C11" s="22" t="s">
        <v>141</v>
      </c>
      <c r="D11" s="23">
        <v>35000</v>
      </c>
      <c r="E11" s="24">
        <v>20</v>
      </c>
      <c r="F11" s="5" t="s">
        <v>137</v>
      </c>
      <c r="G11" s="8">
        <v>20000</v>
      </c>
      <c r="H11" s="25">
        <f t="shared" si="0"/>
        <v>1.75</v>
      </c>
    </row>
    <row r="12" spans="2:11" ht="16.5" customHeight="1">
      <c r="B12" s="26">
        <v>6</v>
      </c>
      <c r="C12" s="27" t="s">
        <v>142</v>
      </c>
      <c r="D12" s="23">
        <v>8300</v>
      </c>
      <c r="E12" s="28">
        <v>2</v>
      </c>
      <c r="F12" s="26" t="s">
        <v>137</v>
      </c>
      <c r="G12" s="29">
        <v>2000</v>
      </c>
      <c r="H12" s="25">
        <f t="shared" si="0"/>
        <v>4.1500000000000004</v>
      </c>
    </row>
    <row r="13" spans="2:11" ht="16.5" customHeight="1">
      <c r="B13" s="5">
        <v>7</v>
      </c>
      <c r="C13" s="22" t="s">
        <v>143</v>
      </c>
      <c r="D13" s="23">
        <v>10000</v>
      </c>
      <c r="E13" s="24">
        <v>1</v>
      </c>
      <c r="F13" s="5" t="s">
        <v>137</v>
      </c>
      <c r="G13" s="8">
        <v>1000</v>
      </c>
      <c r="H13" s="25">
        <f t="shared" si="0"/>
        <v>10</v>
      </c>
    </row>
    <row r="14" spans="2:11" ht="16.5" customHeight="1">
      <c r="B14" s="26">
        <v>8</v>
      </c>
      <c r="C14" s="27" t="s">
        <v>144</v>
      </c>
      <c r="D14" s="23">
        <v>9000</v>
      </c>
      <c r="E14" s="28">
        <v>1</v>
      </c>
      <c r="F14" s="26" t="s">
        <v>137</v>
      </c>
      <c r="G14" s="29">
        <v>1000</v>
      </c>
      <c r="H14" s="25">
        <f t="shared" si="0"/>
        <v>9</v>
      </c>
    </row>
    <row r="15" spans="2:11" ht="16.5" customHeight="1">
      <c r="B15" s="5">
        <v>9</v>
      </c>
      <c r="C15" s="22" t="s">
        <v>145</v>
      </c>
      <c r="D15" s="23">
        <v>14000</v>
      </c>
      <c r="E15" s="24">
        <v>1</v>
      </c>
      <c r="F15" s="5" t="s">
        <v>137</v>
      </c>
      <c r="G15" s="8">
        <v>1000</v>
      </c>
      <c r="H15" s="25">
        <f t="shared" si="0"/>
        <v>14</v>
      </c>
    </row>
    <row r="16" spans="2:11" ht="16.5" customHeight="1">
      <c r="B16" s="26">
        <v>10</v>
      </c>
      <c r="C16" s="27" t="s">
        <v>146</v>
      </c>
      <c r="D16" s="23">
        <v>18000</v>
      </c>
      <c r="E16" s="28">
        <v>1</v>
      </c>
      <c r="F16" s="26" t="s">
        <v>137</v>
      </c>
      <c r="G16" s="29">
        <v>1000</v>
      </c>
      <c r="H16" s="25">
        <f t="shared" si="0"/>
        <v>18</v>
      </c>
    </row>
    <row r="17" spans="2:8" ht="16.5" customHeight="1">
      <c r="B17" s="5">
        <v>11</v>
      </c>
      <c r="C17" s="22" t="s">
        <v>147</v>
      </c>
      <c r="D17" s="23">
        <v>17000</v>
      </c>
      <c r="E17" s="24">
        <v>1</v>
      </c>
      <c r="F17" s="5" t="s">
        <v>137</v>
      </c>
      <c r="G17" s="8">
        <v>1000</v>
      </c>
      <c r="H17" s="25">
        <f t="shared" si="0"/>
        <v>17</v>
      </c>
    </row>
    <row r="18" spans="2:8" ht="16.5" customHeight="1">
      <c r="B18" s="26">
        <v>12</v>
      </c>
      <c r="C18" s="27" t="s">
        <v>148</v>
      </c>
      <c r="D18" s="23">
        <v>5000</v>
      </c>
      <c r="E18" s="28">
        <v>0.5</v>
      </c>
      <c r="F18" s="26" t="s">
        <v>137</v>
      </c>
      <c r="G18" s="29">
        <v>500</v>
      </c>
      <c r="H18" s="25">
        <f t="shared" si="0"/>
        <v>10</v>
      </c>
    </row>
    <row r="19" spans="2:8" ht="16.5" customHeight="1">
      <c r="B19" s="5">
        <v>13</v>
      </c>
      <c r="C19" s="22" t="s">
        <v>149</v>
      </c>
      <c r="D19" s="23">
        <v>4500</v>
      </c>
      <c r="E19" s="24">
        <v>0.375</v>
      </c>
      <c r="F19" s="5" t="s">
        <v>137</v>
      </c>
      <c r="G19" s="8">
        <v>375</v>
      </c>
      <c r="H19" s="25">
        <f t="shared" si="0"/>
        <v>12</v>
      </c>
    </row>
    <row r="20" spans="2:8" ht="16.5" customHeight="1">
      <c r="B20" s="26">
        <v>14</v>
      </c>
      <c r="C20" s="27" t="s">
        <v>150</v>
      </c>
      <c r="D20" s="23">
        <v>1050</v>
      </c>
      <c r="E20" s="28">
        <v>0.4</v>
      </c>
      <c r="F20" s="26" t="s">
        <v>137</v>
      </c>
      <c r="G20" s="29">
        <v>400</v>
      </c>
      <c r="H20" s="25">
        <f t="shared" si="0"/>
        <v>2.625</v>
      </c>
    </row>
    <row r="21" spans="2:8" ht="16.5" customHeight="1">
      <c r="B21" s="5">
        <v>15</v>
      </c>
      <c r="C21" s="22" t="s">
        <v>151</v>
      </c>
      <c r="D21" s="23">
        <v>65000</v>
      </c>
      <c r="E21" s="24">
        <v>15</v>
      </c>
      <c r="F21" s="5" t="s">
        <v>137</v>
      </c>
      <c r="G21" s="8">
        <v>15000</v>
      </c>
      <c r="H21" s="25">
        <f t="shared" si="0"/>
        <v>4.333333333333333</v>
      </c>
    </row>
    <row r="22" spans="2:8" ht="16.5" customHeight="1">
      <c r="B22" s="26">
        <v>16</v>
      </c>
      <c r="C22" s="27" t="s">
        <v>152</v>
      </c>
      <c r="D22" s="23">
        <v>7250</v>
      </c>
      <c r="E22" s="28">
        <v>3</v>
      </c>
      <c r="F22" s="26" t="s">
        <v>137</v>
      </c>
      <c r="G22" s="29">
        <v>3000</v>
      </c>
      <c r="H22" s="25">
        <f t="shared" si="0"/>
        <v>2.4166666666666665</v>
      </c>
    </row>
    <row r="23" spans="2:8" ht="16.5" customHeight="1">
      <c r="B23" s="5">
        <v>17</v>
      </c>
      <c r="C23" s="22" t="s">
        <v>153</v>
      </c>
      <c r="D23" s="23">
        <v>4000</v>
      </c>
      <c r="E23" s="24">
        <v>1</v>
      </c>
      <c r="F23" s="5" t="s">
        <v>137</v>
      </c>
      <c r="G23" s="8">
        <v>1000</v>
      </c>
      <c r="H23" s="25">
        <f t="shared" si="0"/>
        <v>4</v>
      </c>
    </row>
    <row r="24" spans="2:8" ht="16.5" customHeight="1">
      <c r="B24" s="26">
        <v>18</v>
      </c>
      <c r="C24" s="27" t="s">
        <v>154</v>
      </c>
      <c r="D24" s="23">
        <v>8700</v>
      </c>
      <c r="E24" s="28">
        <v>1</v>
      </c>
      <c r="F24" s="26" t="s">
        <v>137</v>
      </c>
      <c r="G24" s="29">
        <v>1000</v>
      </c>
      <c r="H24" s="25">
        <f t="shared" si="0"/>
        <v>8.6999999999999993</v>
      </c>
    </row>
    <row r="25" spans="2:8" ht="16.5" customHeight="1">
      <c r="B25" s="5">
        <v>19</v>
      </c>
      <c r="C25" s="22" t="s">
        <v>155</v>
      </c>
      <c r="D25" s="23">
        <v>2000</v>
      </c>
      <c r="E25" s="24">
        <v>0.4</v>
      </c>
      <c r="F25" s="5" t="s">
        <v>137</v>
      </c>
      <c r="G25" s="8">
        <v>400</v>
      </c>
      <c r="H25" s="25">
        <f t="shared" si="0"/>
        <v>5</v>
      </c>
    </row>
    <row r="26" spans="2:8" ht="16.5" customHeight="1">
      <c r="B26" s="26">
        <v>20</v>
      </c>
      <c r="C26" s="27" t="s">
        <v>156</v>
      </c>
      <c r="D26" s="23">
        <v>1150</v>
      </c>
      <c r="E26" s="28">
        <v>0.5</v>
      </c>
      <c r="F26" s="26" t="s">
        <v>137</v>
      </c>
      <c r="G26" s="29">
        <v>500</v>
      </c>
      <c r="H26" s="25">
        <f t="shared" si="0"/>
        <v>2.2999999999999998</v>
      </c>
    </row>
    <row r="27" spans="2:8" ht="16.5" customHeight="1">
      <c r="B27" s="5">
        <v>21</v>
      </c>
      <c r="C27" s="22" t="s">
        <v>157</v>
      </c>
      <c r="D27" s="23">
        <v>0</v>
      </c>
      <c r="E27" s="24">
        <v>3</v>
      </c>
      <c r="F27" s="5" t="s">
        <v>137</v>
      </c>
      <c r="G27" s="8">
        <v>3000</v>
      </c>
      <c r="H27" s="25">
        <f t="shared" si="0"/>
        <v>0</v>
      </c>
    </row>
    <row r="28" spans="2:8" ht="16.5" customHeight="1">
      <c r="B28" s="26">
        <v>22</v>
      </c>
      <c r="C28" s="27" t="s">
        <v>158</v>
      </c>
      <c r="D28" s="23">
        <v>6000</v>
      </c>
      <c r="E28" s="28">
        <v>2.5</v>
      </c>
      <c r="F28" s="26" t="s">
        <v>137</v>
      </c>
      <c r="G28" s="29">
        <v>2500</v>
      </c>
      <c r="H28" s="25">
        <f t="shared" si="0"/>
        <v>2.4</v>
      </c>
    </row>
    <row r="29" spans="2:8" ht="16.5" customHeight="1">
      <c r="B29" s="5">
        <v>23</v>
      </c>
      <c r="C29" s="22" t="s">
        <v>159</v>
      </c>
      <c r="D29" s="23">
        <v>6650</v>
      </c>
      <c r="E29" s="24">
        <v>3.2</v>
      </c>
      <c r="F29" s="5" t="s">
        <v>137</v>
      </c>
      <c r="G29" s="8">
        <v>3200</v>
      </c>
      <c r="H29" s="25">
        <f t="shared" si="0"/>
        <v>2.078125</v>
      </c>
    </row>
    <row r="30" spans="2:8" ht="16.5" customHeight="1">
      <c r="B30" s="26">
        <v>24</v>
      </c>
      <c r="C30" s="27" t="s">
        <v>160</v>
      </c>
      <c r="D30" s="23">
        <v>12000</v>
      </c>
      <c r="E30" s="28">
        <v>2</v>
      </c>
      <c r="F30" s="26" t="s">
        <v>137</v>
      </c>
      <c r="G30" s="29">
        <v>2000</v>
      </c>
      <c r="H30" s="25">
        <f t="shared" si="0"/>
        <v>6</v>
      </c>
    </row>
    <row r="31" spans="2:8" ht="16.5" customHeight="1">
      <c r="B31" s="5">
        <v>25</v>
      </c>
      <c r="C31" s="22" t="s">
        <v>161</v>
      </c>
      <c r="D31" s="23">
        <v>18000</v>
      </c>
      <c r="E31" s="24">
        <v>5.9</v>
      </c>
      <c r="F31" s="5" t="s">
        <v>137</v>
      </c>
      <c r="G31" s="8">
        <v>5900</v>
      </c>
      <c r="H31" s="25">
        <f t="shared" si="0"/>
        <v>3.0508474576271185</v>
      </c>
    </row>
    <row r="32" spans="2:8" ht="16.5" customHeight="1">
      <c r="B32" s="26">
        <v>26</v>
      </c>
      <c r="C32" s="27" t="s">
        <v>162</v>
      </c>
      <c r="D32" s="23">
        <v>9000</v>
      </c>
      <c r="E32" s="28">
        <v>0.4</v>
      </c>
      <c r="F32" s="26" t="s">
        <v>137</v>
      </c>
      <c r="G32" s="29">
        <v>400</v>
      </c>
      <c r="H32" s="25">
        <f t="shared" si="0"/>
        <v>22.5</v>
      </c>
    </row>
    <row r="33" spans="2:8" ht="16.5" customHeight="1">
      <c r="B33" s="5">
        <v>27</v>
      </c>
      <c r="C33" s="22" t="s">
        <v>163</v>
      </c>
      <c r="D33" s="23">
        <v>9000</v>
      </c>
      <c r="E33" s="24">
        <v>0.4</v>
      </c>
      <c r="F33" s="5" t="s">
        <v>137</v>
      </c>
      <c r="G33" s="8">
        <v>400</v>
      </c>
      <c r="H33" s="25">
        <f t="shared" si="0"/>
        <v>22.5</v>
      </c>
    </row>
    <row r="34" spans="2:8" ht="16.5" customHeight="1">
      <c r="B34" s="26">
        <v>28</v>
      </c>
      <c r="C34" s="27" t="s">
        <v>164</v>
      </c>
      <c r="D34" s="23">
        <v>15200</v>
      </c>
      <c r="E34" s="28">
        <v>0.9</v>
      </c>
      <c r="F34" s="26" t="s">
        <v>137</v>
      </c>
      <c r="G34" s="29">
        <v>900</v>
      </c>
      <c r="H34" s="25">
        <f t="shared" si="0"/>
        <v>16.888888888888889</v>
      </c>
    </row>
    <row r="35" spans="2:8" ht="16.5" customHeight="1">
      <c r="B35" s="5">
        <v>29</v>
      </c>
      <c r="C35" s="22" t="s">
        <v>165</v>
      </c>
      <c r="D35" s="23">
        <v>15000</v>
      </c>
      <c r="E35" s="24">
        <v>0.9</v>
      </c>
      <c r="F35" s="5" t="s">
        <v>137</v>
      </c>
      <c r="G35" s="8">
        <v>900</v>
      </c>
      <c r="H35" s="25">
        <f t="shared" si="0"/>
        <v>16.666666666666668</v>
      </c>
    </row>
    <row r="36" spans="2:8" ht="16.5" customHeight="1">
      <c r="B36" s="26">
        <v>30</v>
      </c>
      <c r="C36" s="27" t="s">
        <v>166</v>
      </c>
      <c r="D36" s="23">
        <v>4750</v>
      </c>
      <c r="E36" s="28">
        <v>0.6</v>
      </c>
      <c r="F36" s="26" t="s">
        <v>137</v>
      </c>
      <c r="G36" s="29">
        <v>600</v>
      </c>
      <c r="H36" s="25">
        <f t="shared" si="0"/>
        <v>7.916666666666667</v>
      </c>
    </row>
    <row r="37" spans="2:8" ht="16.5" customHeight="1">
      <c r="B37" s="5">
        <v>31</v>
      </c>
      <c r="C37" s="22" t="s">
        <v>167</v>
      </c>
      <c r="D37" s="23">
        <v>5500</v>
      </c>
      <c r="E37" s="24">
        <v>1.5</v>
      </c>
      <c r="F37" s="5" t="s">
        <v>137</v>
      </c>
      <c r="G37" s="8">
        <v>1800</v>
      </c>
      <c r="H37" s="25">
        <f t="shared" si="0"/>
        <v>3.0555555555555554</v>
      </c>
    </row>
    <row r="38" spans="2:8" ht="16.5" customHeight="1">
      <c r="B38" s="26">
        <v>32</v>
      </c>
      <c r="C38" s="27" t="s">
        <v>168</v>
      </c>
      <c r="D38" s="23">
        <v>15000</v>
      </c>
      <c r="E38" s="28">
        <v>15</v>
      </c>
      <c r="F38" s="26" t="s">
        <v>137</v>
      </c>
      <c r="G38" s="29">
        <v>15000</v>
      </c>
      <c r="H38" s="25">
        <f t="shared" si="0"/>
        <v>1</v>
      </c>
    </row>
    <row r="39" spans="2:8" ht="16.5" customHeight="1">
      <c r="B39" s="5">
        <v>33</v>
      </c>
      <c r="C39" s="22" t="s">
        <v>169</v>
      </c>
      <c r="D39" s="23">
        <v>20000</v>
      </c>
      <c r="E39" s="24">
        <v>15</v>
      </c>
      <c r="F39" s="5" t="s">
        <v>137</v>
      </c>
      <c r="G39" s="8">
        <v>15000</v>
      </c>
      <c r="H39" s="25">
        <f t="shared" ref="H39:H70" si="1">IF(G39&gt;0,D39/G39,0)</f>
        <v>1.3333333333333333</v>
      </c>
    </row>
    <row r="40" spans="2:8" ht="16.5" customHeight="1">
      <c r="B40" s="26">
        <v>34</v>
      </c>
      <c r="C40" s="27" t="s">
        <v>170</v>
      </c>
      <c r="D40" s="23">
        <v>196000</v>
      </c>
      <c r="E40" s="28">
        <v>25</v>
      </c>
      <c r="F40" s="26" t="s">
        <v>137</v>
      </c>
      <c r="G40" s="29">
        <v>25000</v>
      </c>
      <c r="H40" s="25">
        <f t="shared" si="1"/>
        <v>7.84</v>
      </c>
    </row>
    <row r="41" spans="2:8" ht="16.5" customHeight="1">
      <c r="B41" s="5">
        <v>35</v>
      </c>
      <c r="C41" s="22" t="s">
        <v>171</v>
      </c>
      <c r="D41" s="23">
        <v>3500</v>
      </c>
      <c r="E41" s="24">
        <v>1.8</v>
      </c>
      <c r="F41" s="5" t="s">
        <v>137</v>
      </c>
      <c r="G41" s="8">
        <v>1800</v>
      </c>
      <c r="H41" s="25">
        <f t="shared" si="1"/>
        <v>1.9444444444444444</v>
      </c>
    </row>
    <row r="42" spans="2:8" ht="16.5" customHeight="1">
      <c r="B42" s="26">
        <v>36</v>
      </c>
      <c r="C42" s="27" t="s">
        <v>172</v>
      </c>
      <c r="D42" s="23">
        <v>14500</v>
      </c>
      <c r="E42" s="28">
        <v>13.1</v>
      </c>
      <c r="F42" s="26" t="s">
        <v>137</v>
      </c>
      <c r="G42" s="29">
        <v>13100</v>
      </c>
      <c r="H42" s="25">
        <f t="shared" si="1"/>
        <v>1.1068702290076335</v>
      </c>
    </row>
    <row r="43" spans="2:8" ht="16.5" customHeight="1">
      <c r="B43" s="5">
        <v>37</v>
      </c>
      <c r="C43" s="22" t="s">
        <v>173</v>
      </c>
      <c r="D43" s="23">
        <v>6000</v>
      </c>
      <c r="E43" s="24">
        <v>13</v>
      </c>
      <c r="F43" s="5" t="s">
        <v>137</v>
      </c>
      <c r="G43" s="8">
        <v>13000</v>
      </c>
      <c r="H43" s="25">
        <f t="shared" si="1"/>
        <v>0.46153846153846156</v>
      </c>
    </row>
    <row r="44" spans="2:8" ht="16.5" customHeight="1">
      <c r="B44" s="26">
        <v>38</v>
      </c>
      <c r="C44" s="30" t="s">
        <v>174</v>
      </c>
      <c r="D44" s="23">
        <v>4500</v>
      </c>
      <c r="E44" s="28">
        <v>0.2</v>
      </c>
      <c r="F44" s="26" t="s">
        <v>137</v>
      </c>
      <c r="G44" s="29">
        <v>200</v>
      </c>
      <c r="H44" s="25">
        <f t="shared" si="1"/>
        <v>22.5</v>
      </c>
    </row>
    <row r="45" spans="2:8" ht="16.5" customHeight="1">
      <c r="B45" s="5">
        <v>39</v>
      </c>
      <c r="C45" s="22" t="s">
        <v>175</v>
      </c>
      <c r="D45" s="23">
        <v>157500</v>
      </c>
      <c r="E45" s="24">
        <v>10.5</v>
      </c>
      <c r="F45" s="5" t="s">
        <v>137</v>
      </c>
      <c r="G45" s="8">
        <v>10500</v>
      </c>
      <c r="H45" s="25">
        <f t="shared" si="1"/>
        <v>15</v>
      </c>
    </row>
    <row r="46" spans="2:8" ht="16.5" customHeight="1">
      <c r="B46" s="26">
        <v>40</v>
      </c>
      <c r="C46" s="30" t="s">
        <v>501</v>
      </c>
      <c r="D46" s="23">
        <v>17000</v>
      </c>
      <c r="E46" s="28">
        <v>0.9</v>
      </c>
      <c r="F46" s="26" t="s">
        <v>137</v>
      </c>
      <c r="G46" s="29">
        <v>900</v>
      </c>
      <c r="H46" s="25">
        <f t="shared" si="1"/>
        <v>18.888888888888889</v>
      </c>
    </row>
    <row r="47" spans="2:8" ht="16.5" customHeight="1">
      <c r="B47" s="5">
        <v>41</v>
      </c>
      <c r="C47" s="31" t="s">
        <v>176</v>
      </c>
      <c r="D47" s="23">
        <v>3000</v>
      </c>
      <c r="E47" s="24">
        <v>0.9</v>
      </c>
      <c r="F47" s="5" t="s">
        <v>137</v>
      </c>
      <c r="G47" s="8">
        <v>900</v>
      </c>
      <c r="H47" s="25">
        <f t="shared" si="1"/>
        <v>3.3333333333333335</v>
      </c>
    </row>
    <row r="48" spans="2:8" ht="16.5" customHeight="1">
      <c r="B48" s="26">
        <v>42</v>
      </c>
      <c r="C48" s="30" t="s">
        <v>177</v>
      </c>
      <c r="D48" s="23">
        <v>4500</v>
      </c>
      <c r="E48" s="28">
        <v>0.2</v>
      </c>
      <c r="F48" s="26" t="s">
        <v>137</v>
      </c>
      <c r="G48" s="29">
        <v>200</v>
      </c>
      <c r="H48" s="25">
        <f t="shared" si="1"/>
        <v>22.5</v>
      </c>
    </row>
    <row r="49" spans="2:8" ht="16.5" customHeight="1">
      <c r="B49" s="5">
        <v>43</v>
      </c>
      <c r="C49" s="31" t="s">
        <v>178</v>
      </c>
      <c r="D49" s="23">
        <v>9500</v>
      </c>
      <c r="E49" s="24">
        <v>1</v>
      </c>
      <c r="F49" s="5" t="s">
        <v>137</v>
      </c>
      <c r="G49" s="8">
        <v>1000</v>
      </c>
      <c r="H49" s="25">
        <f t="shared" si="1"/>
        <v>9.5</v>
      </c>
    </row>
    <row r="50" spans="2:8" ht="16.5" customHeight="1">
      <c r="B50" s="26">
        <v>44</v>
      </c>
      <c r="C50" s="30" t="s">
        <v>179</v>
      </c>
      <c r="D50" s="23">
        <v>3000</v>
      </c>
      <c r="E50" s="28">
        <v>0.2</v>
      </c>
      <c r="F50" s="26" t="s">
        <v>137</v>
      </c>
      <c r="G50" s="29">
        <v>200</v>
      </c>
      <c r="H50" s="25">
        <f t="shared" si="1"/>
        <v>15</v>
      </c>
    </row>
    <row r="51" spans="2:8" ht="16.5" customHeight="1">
      <c r="B51" s="5">
        <v>45</v>
      </c>
      <c r="C51" s="31" t="s">
        <v>180</v>
      </c>
      <c r="D51" s="23">
        <v>2500</v>
      </c>
      <c r="E51" s="24">
        <v>0.8</v>
      </c>
      <c r="F51" s="5" t="s">
        <v>137</v>
      </c>
      <c r="G51" s="8">
        <v>800</v>
      </c>
      <c r="H51" s="25">
        <f t="shared" si="1"/>
        <v>3.125</v>
      </c>
    </row>
    <row r="52" spans="2:8" ht="16.5" customHeight="1">
      <c r="B52" s="26">
        <v>46</v>
      </c>
      <c r="C52" s="30" t="s">
        <v>181</v>
      </c>
      <c r="D52" s="23">
        <v>2800</v>
      </c>
      <c r="E52" s="28">
        <v>0.8</v>
      </c>
      <c r="F52" s="26" t="s">
        <v>137</v>
      </c>
      <c r="G52" s="29">
        <v>800</v>
      </c>
      <c r="H52" s="25">
        <f t="shared" si="1"/>
        <v>3.5</v>
      </c>
    </row>
    <row r="53" spans="2:8" ht="16.5" customHeight="1">
      <c r="B53" s="5">
        <v>47</v>
      </c>
      <c r="C53" s="31" t="s">
        <v>182</v>
      </c>
      <c r="D53" s="23">
        <v>29000</v>
      </c>
      <c r="E53" s="24">
        <v>1.6</v>
      </c>
      <c r="F53" s="5" t="s">
        <v>137</v>
      </c>
      <c r="G53" s="8">
        <v>1600</v>
      </c>
      <c r="H53" s="25">
        <f t="shared" si="1"/>
        <v>18.125</v>
      </c>
    </row>
    <row r="54" spans="2:8" ht="16.5" customHeight="1">
      <c r="B54" s="26">
        <v>48</v>
      </c>
      <c r="C54" s="30" t="s">
        <v>183</v>
      </c>
      <c r="D54" s="23">
        <v>2500</v>
      </c>
      <c r="E54" s="28">
        <v>0.1</v>
      </c>
      <c r="F54" s="26" t="s">
        <v>137</v>
      </c>
      <c r="G54" s="29">
        <v>100</v>
      </c>
      <c r="H54" s="25">
        <f t="shared" si="1"/>
        <v>25</v>
      </c>
    </row>
    <row r="55" spans="2:8" ht="16.5" customHeight="1">
      <c r="B55" s="5">
        <v>49</v>
      </c>
      <c r="C55" s="31" t="s">
        <v>184</v>
      </c>
      <c r="D55" s="23">
        <v>5200</v>
      </c>
      <c r="E55" s="24">
        <v>1</v>
      </c>
      <c r="F55" s="5" t="s">
        <v>137</v>
      </c>
      <c r="G55" s="8">
        <v>1000</v>
      </c>
      <c r="H55" s="25">
        <f t="shared" si="1"/>
        <v>5.2</v>
      </c>
    </row>
    <row r="56" spans="2:8" ht="16.5" customHeight="1">
      <c r="B56" s="26">
        <v>50</v>
      </c>
      <c r="C56" s="30" t="s">
        <v>185</v>
      </c>
      <c r="D56" s="23">
        <v>5500</v>
      </c>
      <c r="E56" s="28">
        <v>1</v>
      </c>
      <c r="F56" s="26" t="s">
        <v>137</v>
      </c>
      <c r="G56" s="29">
        <v>1000</v>
      </c>
      <c r="H56" s="25">
        <f t="shared" si="1"/>
        <v>5.5</v>
      </c>
    </row>
    <row r="57" spans="2:8" ht="16.5" customHeight="1">
      <c r="B57" s="5">
        <v>51</v>
      </c>
      <c r="C57" s="31" t="s">
        <v>186</v>
      </c>
      <c r="D57" s="23">
        <v>7500</v>
      </c>
      <c r="E57" s="24">
        <v>5</v>
      </c>
      <c r="F57" s="5" t="s">
        <v>137</v>
      </c>
      <c r="G57" s="8">
        <v>5000</v>
      </c>
      <c r="H57" s="25">
        <f t="shared" si="1"/>
        <v>1.5</v>
      </c>
    </row>
    <row r="58" spans="2:8" ht="16.5" customHeight="1">
      <c r="B58" s="26">
        <v>52</v>
      </c>
      <c r="C58" s="30" t="s">
        <v>187</v>
      </c>
      <c r="D58" s="23">
        <v>2000</v>
      </c>
      <c r="E58" s="28">
        <v>0.05</v>
      </c>
      <c r="F58" s="26" t="s">
        <v>137</v>
      </c>
      <c r="G58" s="29">
        <v>50</v>
      </c>
      <c r="H58" s="25">
        <f t="shared" si="1"/>
        <v>40</v>
      </c>
    </row>
    <row r="59" spans="2:8" ht="16.5" customHeight="1">
      <c r="B59" s="5">
        <v>53</v>
      </c>
      <c r="C59" s="31" t="s">
        <v>188</v>
      </c>
      <c r="D59" s="23">
        <v>3200</v>
      </c>
      <c r="E59" s="24">
        <v>1</v>
      </c>
      <c r="F59" s="5" t="s">
        <v>137</v>
      </c>
      <c r="G59" s="8">
        <v>1000</v>
      </c>
      <c r="H59" s="25">
        <f t="shared" si="1"/>
        <v>3.2</v>
      </c>
    </row>
    <row r="60" spans="2:8" ht="16.5" customHeight="1">
      <c r="B60" s="26">
        <v>54</v>
      </c>
      <c r="C60" s="30" t="s">
        <v>189</v>
      </c>
      <c r="D60" s="23">
        <v>3000</v>
      </c>
      <c r="E60" s="28">
        <v>1</v>
      </c>
      <c r="F60" s="26" t="s">
        <v>137</v>
      </c>
      <c r="G60" s="29">
        <v>1000</v>
      </c>
      <c r="H60" s="25">
        <f t="shared" si="1"/>
        <v>3</v>
      </c>
    </row>
    <row r="61" spans="2:8" ht="16.5" customHeight="1">
      <c r="B61" s="5">
        <v>55</v>
      </c>
      <c r="C61" s="31" t="s">
        <v>190</v>
      </c>
      <c r="D61" s="23">
        <v>2500</v>
      </c>
      <c r="E61" s="24">
        <v>0.2</v>
      </c>
      <c r="F61" s="5" t="s">
        <v>137</v>
      </c>
      <c r="G61" s="8">
        <v>200</v>
      </c>
      <c r="H61" s="25">
        <f t="shared" si="1"/>
        <v>12.5</v>
      </c>
    </row>
    <row r="62" spans="2:8" ht="16.5" customHeight="1">
      <c r="B62" s="26">
        <v>56</v>
      </c>
      <c r="C62" s="27" t="s">
        <v>191</v>
      </c>
      <c r="D62" s="23">
        <v>49500</v>
      </c>
      <c r="E62" s="28">
        <v>18</v>
      </c>
      <c r="F62" s="26" t="s">
        <v>137</v>
      </c>
      <c r="G62" s="29">
        <v>18000</v>
      </c>
      <c r="H62" s="25">
        <f t="shared" si="1"/>
        <v>2.75</v>
      </c>
    </row>
    <row r="63" spans="2:8" ht="16.5" customHeight="1">
      <c r="B63" s="5">
        <v>57</v>
      </c>
      <c r="C63" s="22" t="s">
        <v>192</v>
      </c>
      <c r="D63" s="23">
        <v>24000</v>
      </c>
      <c r="E63" s="24">
        <v>1</v>
      </c>
      <c r="F63" s="5" t="s">
        <v>137</v>
      </c>
      <c r="G63" s="8">
        <v>1000</v>
      </c>
      <c r="H63" s="25">
        <f t="shared" si="1"/>
        <v>24</v>
      </c>
    </row>
    <row r="64" spans="2:8" ht="16.5" customHeight="1">
      <c r="B64" s="26">
        <v>58</v>
      </c>
      <c r="C64" s="27" t="s">
        <v>193</v>
      </c>
      <c r="D64" s="23">
        <v>21000</v>
      </c>
      <c r="E64" s="28">
        <v>0</v>
      </c>
      <c r="F64" s="26" t="s">
        <v>137</v>
      </c>
      <c r="G64" s="29">
        <v>0</v>
      </c>
      <c r="H64" s="25">
        <f t="shared" si="1"/>
        <v>0</v>
      </c>
    </row>
    <row r="65" spans="2:8" ht="16.5" customHeight="1">
      <c r="B65" s="5">
        <v>59</v>
      </c>
      <c r="C65" s="22" t="s">
        <v>194</v>
      </c>
      <c r="D65" s="23">
        <v>19500</v>
      </c>
      <c r="E65" s="24">
        <v>0</v>
      </c>
      <c r="F65" s="5" t="s">
        <v>137</v>
      </c>
      <c r="G65" s="8">
        <v>0</v>
      </c>
      <c r="H65" s="25">
        <f t="shared" si="1"/>
        <v>0</v>
      </c>
    </row>
    <row r="66" spans="2:8" ht="16.5" customHeight="1">
      <c r="B66" s="26">
        <v>60</v>
      </c>
      <c r="C66" s="27" t="s">
        <v>195</v>
      </c>
      <c r="D66" s="23">
        <v>900</v>
      </c>
      <c r="E66" s="28">
        <v>0.1</v>
      </c>
      <c r="F66" s="26" t="s">
        <v>137</v>
      </c>
      <c r="G66" s="29">
        <v>100</v>
      </c>
      <c r="H66" s="25">
        <f t="shared" si="1"/>
        <v>9</v>
      </c>
    </row>
    <row r="67" spans="2:8" ht="16.5" customHeight="1">
      <c r="B67" s="5">
        <v>61</v>
      </c>
      <c r="C67" s="22" t="s">
        <v>196</v>
      </c>
      <c r="D67" s="23">
        <v>4400</v>
      </c>
      <c r="E67" s="24">
        <v>0.9</v>
      </c>
      <c r="F67" s="5" t="s">
        <v>137</v>
      </c>
      <c r="G67" s="8">
        <v>900</v>
      </c>
      <c r="H67" s="25">
        <f t="shared" si="1"/>
        <v>4.8888888888888893</v>
      </c>
    </row>
    <row r="68" spans="2:8" ht="16.5" customHeight="1">
      <c r="B68" s="26">
        <v>62</v>
      </c>
      <c r="C68" s="27" t="s">
        <v>197</v>
      </c>
      <c r="D68" s="23">
        <v>6000</v>
      </c>
      <c r="E68" s="28">
        <v>1.3</v>
      </c>
      <c r="F68" s="26" t="s">
        <v>137</v>
      </c>
      <c r="G68" s="29">
        <v>1300</v>
      </c>
      <c r="H68" s="25">
        <f t="shared" si="1"/>
        <v>4.615384615384615</v>
      </c>
    </row>
    <row r="69" spans="2:8" ht="16.5" customHeight="1">
      <c r="B69" s="5">
        <v>63</v>
      </c>
      <c r="C69" s="22" t="s">
        <v>198</v>
      </c>
      <c r="D69" s="23">
        <v>4400</v>
      </c>
      <c r="E69" s="24">
        <v>1</v>
      </c>
      <c r="F69" s="5" t="s">
        <v>137</v>
      </c>
      <c r="G69" s="8">
        <v>1000</v>
      </c>
      <c r="H69" s="25">
        <f t="shared" si="1"/>
        <v>4.4000000000000004</v>
      </c>
    </row>
    <row r="70" spans="2:8" ht="16.5" customHeight="1">
      <c r="B70" s="26">
        <v>64</v>
      </c>
      <c r="C70" s="27" t="s">
        <v>199</v>
      </c>
      <c r="D70" s="23">
        <v>7200</v>
      </c>
      <c r="E70" s="28">
        <v>1</v>
      </c>
      <c r="F70" s="26" t="s">
        <v>137</v>
      </c>
      <c r="G70" s="29">
        <v>1000</v>
      </c>
      <c r="H70" s="25">
        <f t="shared" si="1"/>
        <v>7.2</v>
      </c>
    </row>
    <row r="71" spans="2:8" ht="16.5" customHeight="1">
      <c r="B71" s="5">
        <v>65</v>
      </c>
      <c r="C71" s="22" t="s">
        <v>200</v>
      </c>
      <c r="D71" s="23">
        <v>5000</v>
      </c>
      <c r="E71" s="24">
        <v>1</v>
      </c>
      <c r="F71" s="5" t="s">
        <v>137</v>
      </c>
      <c r="G71" s="8">
        <v>1000</v>
      </c>
      <c r="H71" s="25">
        <f t="shared" ref="H71:H102" si="2">IF(G71&gt;0,D71/G71,0)</f>
        <v>5</v>
      </c>
    </row>
    <row r="72" spans="2:8" ht="16.5" customHeight="1">
      <c r="B72" s="26">
        <v>66</v>
      </c>
      <c r="C72" s="27" t="s">
        <v>201</v>
      </c>
      <c r="D72" s="23">
        <v>4400</v>
      </c>
      <c r="E72" s="28">
        <v>1</v>
      </c>
      <c r="F72" s="26" t="s">
        <v>137</v>
      </c>
      <c r="G72" s="29">
        <v>1000</v>
      </c>
      <c r="H72" s="25">
        <f t="shared" si="2"/>
        <v>4.4000000000000004</v>
      </c>
    </row>
    <row r="73" spans="2:8" ht="16.5" customHeight="1">
      <c r="B73" s="5">
        <v>67</v>
      </c>
      <c r="C73" s="22" t="s">
        <v>202</v>
      </c>
      <c r="D73" s="23">
        <v>270000</v>
      </c>
      <c r="E73" s="24">
        <v>18</v>
      </c>
      <c r="F73" s="5" t="s">
        <v>137</v>
      </c>
      <c r="G73" s="8">
        <v>18000</v>
      </c>
      <c r="H73" s="25">
        <f t="shared" si="2"/>
        <v>15</v>
      </c>
    </row>
    <row r="74" spans="2:8" ht="16.5" customHeight="1">
      <c r="B74" s="26">
        <v>68</v>
      </c>
      <c r="C74" s="27" t="s">
        <v>203</v>
      </c>
      <c r="D74" s="23">
        <v>11800</v>
      </c>
      <c r="E74" s="28">
        <v>5</v>
      </c>
      <c r="F74" s="26" t="s">
        <v>137</v>
      </c>
      <c r="G74" s="29">
        <v>5000</v>
      </c>
      <c r="H74" s="25">
        <f t="shared" si="2"/>
        <v>2.36</v>
      </c>
    </row>
    <row r="75" spans="2:8" ht="16.5" customHeight="1">
      <c r="B75" s="5">
        <v>69</v>
      </c>
      <c r="C75" s="22" t="s">
        <v>204</v>
      </c>
      <c r="D75" s="23">
        <v>75000</v>
      </c>
      <c r="E75" s="24">
        <v>10</v>
      </c>
      <c r="F75" s="5" t="s">
        <v>137</v>
      </c>
      <c r="G75" s="8">
        <v>10000</v>
      </c>
      <c r="H75" s="25">
        <f t="shared" si="2"/>
        <v>7.5</v>
      </c>
    </row>
    <row r="76" spans="2:8" ht="16.5" customHeight="1">
      <c r="B76" s="26">
        <v>70</v>
      </c>
      <c r="C76" s="27" t="s">
        <v>205</v>
      </c>
      <c r="D76" s="23">
        <v>80000</v>
      </c>
      <c r="E76" s="28">
        <v>15</v>
      </c>
      <c r="F76" s="26" t="s">
        <v>137</v>
      </c>
      <c r="G76" s="29">
        <v>15000</v>
      </c>
      <c r="H76" s="25">
        <f t="shared" si="2"/>
        <v>5.333333333333333</v>
      </c>
    </row>
    <row r="77" spans="2:8" ht="16.5" customHeight="1">
      <c r="B77" s="5">
        <v>71</v>
      </c>
      <c r="C77" s="22" t="s">
        <v>206</v>
      </c>
      <c r="D77" s="23">
        <v>294000</v>
      </c>
      <c r="E77" s="24">
        <v>22.8</v>
      </c>
      <c r="F77" s="5" t="s">
        <v>137</v>
      </c>
      <c r="G77" s="8">
        <v>22800</v>
      </c>
      <c r="H77" s="25">
        <f t="shared" si="2"/>
        <v>12.894736842105264</v>
      </c>
    </row>
    <row r="78" spans="2:8" ht="16.5" customHeight="1">
      <c r="B78" s="26">
        <v>72</v>
      </c>
      <c r="C78" s="27" t="s">
        <v>207</v>
      </c>
      <c r="D78" s="23">
        <v>5300</v>
      </c>
      <c r="E78" s="28">
        <v>0.55000000000000004</v>
      </c>
      <c r="F78" s="26" t="s">
        <v>137</v>
      </c>
      <c r="G78" s="29">
        <v>550</v>
      </c>
      <c r="H78" s="25">
        <f t="shared" si="2"/>
        <v>9.6363636363636367</v>
      </c>
    </row>
    <row r="79" spans="2:8" ht="16.5" customHeight="1">
      <c r="B79" s="5">
        <v>73</v>
      </c>
      <c r="C79" s="31" t="s">
        <v>208</v>
      </c>
      <c r="D79" s="23">
        <v>2125</v>
      </c>
      <c r="E79" s="24">
        <v>5</v>
      </c>
      <c r="F79" s="5" t="s">
        <v>137</v>
      </c>
      <c r="G79" s="8">
        <v>5000</v>
      </c>
      <c r="H79" s="25">
        <f t="shared" si="2"/>
        <v>0.42499999999999999</v>
      </c>
    </row>
    <row r="80" spans="2:8" ht="16.5" customHeight="1">
      <c r="B80" s="26">
        <v>74</v>
      </c>
      <c r="C80" s="30" t="s">
        <v>209</v>
      </c>
      <c r="D80" s="23">
        <v>2500</v>
      </c>
      <c r="E80" s="28">
        <v>0.2</v>
      </c>
      <c r="F80" s="26" t="s">
        <v>137</v>
      </c>
      <c r="G80" s="29">
        <v>200</v>
      </c>
      <c r="H80" s="25">
        <f t="shared" si="2"/>
        <v>12.5</v>
      </c>
    </row>
    <row r="81" spans="2:8" ht="16.5" customHeight="1">
      <c r="B81" s="5">
        <v>75</v>
      </c>
      <c r="C81" s="22" t="s">
        <v>210</v>
      </c>
      <c r="D81" s="23">
        <v>0</v>
      </c>
      <c r="E81" s="24">
        <v>0</v>
      </c>
      <c r="F81" s="5" t="s">
        <v>137</v>
      </c>
      <c r="G81" s="8">
        <v>0</v>
      </c>
      <c r="H81" s="25">
        <f t="shared" si="2"/>
        <v>0</v>
      </c>
    </row>
    <row r="82" spans="2:8" ht="16.5" customHeight="1">
      <c r="B82" s="26">
        <v>76</v>
      </c>
      <c r="C82" s="30" t="s">
        <v>211</v>
      </c>
      <c r="D82" s="23">
        <v>2500</v>
      </c>
      <c r="E82" s="28">
        <v>0.1</v>
      </c>
      <c r="F82" s="26" t="s">
        <v>137</v>
      </c>
      <c r="G82" s="29">
        <v>100</v>
      </c>
      <c r="H82" s="25">
        <f t="shared" si="2"/>
        <v>25</v>
      </c>
    </row>
    <row r="83" spans="2:8" ht="16.5" customHeight="1">
      <c r="B83" s="5">
        <v>77</v>
      </c>
      <c r="C83" s="31" t="s">
        <v>212</v>
      </c>
      <c r="D83" s="23">
        <v>1500</v>
      </c>
      <c r="E83" s="24">
        <v>0.2</v>
      </c>
      <c r="F83" s="5" t="s">
        <v>137</v>
      </c>
      <c r="G83" s="8">
        <v>200</v>
      </c>
      <c r="H83" s="25">
        <f t="shared" si="2"/>
        <v>7.5</v>
      </c>
    </row>
    <row r="84" spans="2:8" ht="16.5" customHeight="1">
      <c r="B84" s="26">
        <v>78</v>
      </c>
      <c r="C84" s="30" t="s">
        <v>213</v>
      </c>
      <c r="D84" s="23">
        <v>4500</v>
      </c>
      <c r="E84" s="28">
        <v>0.2</v>
      </c>
      <c r="F84" s="26" t="s">
        <v>137</v>
      </c>
      <c r="G84" s="29">
        <v>200</v>
      </c>
      <c r="H84" s="25">
        <f t="shared" si="2"/>
        <v>22.5</v>
      </c>
    </row>
    <row r="85" spans="2:8" ht="16.5" customHeight="1">
      <c r="B85" s="5">
        <v>79</v>
      </c>
      <c r="C85" s="22" t="s">
        <v>214</v>
      </c>
      <c r="D85" s="23">
        <v>21000</v>
      </c>
      <c r="E85" s="24">
        <v>0</v>
      </c>
      <c r="F85" s="5" t="s">
        <v>137</v>
      </c>
      <c r="G85" s="8">
        <v>0</v>
      </c>
      <c r="H85" s="25">
        <f t="shared" si="2"/>
        <v>0</v>
      </c>
    </row>
    <row r="86" spans="2:8" ht="16.5" customHeight="1">
      <c r="B86" s="26">
        <v>80</v>
      </c>
      <c r="C86" s="27" t="s">
        <v>215</v>
      </c>
      <c r="D86" s="23">
        <v>4250</v>
      </c>
      <c r="E86" s="28">
        <v>1</v>
      </c>
      <c r="F86" s="26" t="s">
        <v>137</v>
      </c>
      <c r="G86" s="29">
        <v>1000</v>
      </c>
      <c r="H86" s="25">
        <f t="shared" si="2"/>
        <v>4.25</v>
      </c>
    </row>
    <row r="87" spans="2:8" ht="16.5" customHeight="1">
      <c r="B87" s="5">
        <v>81</v>
      </c>
      <c r="C87" s="22" t="s">
        <v>216</v>
      </c>
      <c r="D87" s="23">
        <v>4200</v>
      </c>
      <c r="E87" s="24">
        <v>1</v>
      </c>
      <c r="F87" s="5" t="s">
        <v>137</v>
      </c>
      <c r="G87" s="8">
        <v>1000</v>
      </c>
      <c r="H87" s="25">
        <f t="shared" si="2"/>
        <v>4.2</v>
      </c>
    </row>
    <row r="88" spans="2:8" ht="16.5" customHeight="1">
      <c r="B88" s="26">
        <v>82</v>
      </c>
      <c r="C88" s="27" t="s">
        <v>217</v>
      </c>
      <c r="D88" s="23">
        <v>1650</v>
      </c>
      <c r="E88" s="28">
        <v>1</v>
      </c>
      <c r="F88" s="26" t="s">
        <v>137</v>
      </c>
      <c r="G88" s="29">
        <v>1000</v>
      </c>
      <c r="H88" s="25">
        <f t="shared" si="2"/>
        <v>1.65</v>
      </c>
    </row>
    <row r="89" spans="2:8" ht="16.5" customHeight="1">
      <c r="B89" s="5">
        <v>83</v>
      </c>
      <c r="C89" s="22" t="s">
        <v>218</v>
      </c>
      <c r="D89" s="23">
        <v>22000</v>
      </c>
      <c r="E89" s="24">
        <v>3.3</v>
      </c>
      <c r="F89" s="5" t="s">
        <v>137</v>
      </c>
      <c r="G89" s="8">
        <v>3300</v>
      </c>
      <c r="H89" s="25">
        <f t="shared" si="2"/>
        <v>6.666666666666667</v>
      </c>
    </row>
    <row r="90" spans="2:8" ht="16.5" customHeight="1">
      <c r="B90" s="26">
        <v>84</v>
      </c>
      <c r="C90" s="27" t="s">
        <v>219</v>
      </c>
      <c r="D90" s="23">
        <v>7225</v>
      </c>
      <c r="E90" s="28">
        <v>2.8</v>
      </c>
      <c r="F90" s="26" t="s">
        <v>137</v>
      </c>
      <c r="G90" s="29">
        <v>2800</v>
      </c>
      <c r="H90" s="25">
        <f t="shared" si="2"/>
        <v>2.5803571428571428</v>
      </c>
    </row>
    <row r="91" spans="2:8" ht="16.5" customHeight="1">
      <c r="B91" s="5">
        <v>85</v>
      </c>
      <c r="C91" s="31" t="s">
        <v>220</v>
      </c>
      <c r="D91" s="23">
        <v>6000</v>
      </c>
      <c r="E91" s="24">
        <v>1</v>
      </c>
      <c r="F91" s="5" t="s">
        <v>137</v>
      </c>
      <c r="G91" s="8">
        <v>1000</v>
      </c>
      <c r="H91" s="25">
        <f t="shared" si="2"/>
        <v>6</v>
      </c>
    </row>
    <row r="92" spans="2:8" ht="16.5" customHeight="1">
      <c r="B92" s="26">
        <v>86</v>
      </c>
      <c r="C92" s="27" t="s">
        <v>144</v>
      </c>
      <c r="D92" s="23">
        <v>7850</v>
      </c>
      <c r="E92" s="28">
        <v>1</v>
      </c>
      <c r="F92" s="26" t="s">
        <v>137</v>
      </c>
      <c r="G92" s="29">
        <v>1000</v>
      </c>
      <c r="H92" s="25">
        <f t="shared" si="2"/>
        <v>7.85</v>
      </c>
    </row>
    <row r="93" spans="2:8" ht="16.5" customHeight="1">
      <c r="B93" s="5">
        <v>87</v>
      </c>
      <c r="C93" s="22" t="s">
        <v>221</v>
      </c>
      <c r="D93" s="23">
        <v>3200</v>
      </c>
      <c r="E93" s="24">
        <v>1</v>
      </c>
      <c r="F93" s="5" t="s">
        <v>137</v>
      </c>
      <c r="G93" s="8">
        <v>1000</v>
      </c>
      <c r="H93" s="25">
        <f t="shared" si="2"/>
        <v>3.2</v>
      </c>
    </row>
    <row r="94" spans="2:8" ht="16.5" customHeight="1">
      <c r="B94" s="26">
        <v>88</v>
      </c>
      <c r="C94" s="27" t="s">
        <v>222</v>
      </c>
      <c r="D94" s="23">
        <v>210</v>
      </c>
      <c r="E94" s="28">
        <v>6.5000000000000002E-2</v>
      </c>
      <c r="F94" s="26" t="s">
        <v>137</v>
      </c>
      <c r="G94" s="29">
        <v>65</v>
      </c>
      <c r="H94" s="25">
        <f t="shared" si="2"/>
        <v>3.2307692307692308</v>
      </c>
    </row>
    <row r="95" spans="2:8" ht="16.5" customHeight="1">
      <c r="B95" s="5">
        <v>89</v>
      </c>
      <c r="C95" s="22" t="s">
        <v>223</v>
      </c>
      <c r="D95" s="23">
        <v>10000</v>
      </c>
      <c r="E95" s="24">
        <v>1</v>
      </c>
      <c r="F95" s="5" t="s">
        <v>137</v>
      </c>
      <c r="G95" s="8">
        <v>1000</v>
      </c>
      <c r="H95" s="25">
        <f t="shared" si="2"/>
        <v>10</v>
      </c>
    </row>
    <row r="96" spans="2:8" ht="16.5" customHeight="1">
      <c r="B96" s="26">
        <v>90</v>
      </c>
      <c r="C96" s="27" t="s">
        <v>224</v>
      </c>
      <c r="D96" s="23">
        <v>9000</v>
      </c>
      <c r="E96" s="28">
        <v>0.5</v>
      </c>
      <c r="F96" s="26" t="s">
        <v>137</v>
      </c>
      <c r="G96" s="29">
        <v>500</v>
      </c>
      <c r="H96" s="25">
        <f t="shared" si="2"/>
        <v>18</v>
      </c>
    </row>
    <row r="97" spans="2:8" ht="16.5" customHeight="1">
      <c r="B97" s="5">
        <v>91</v>
      </c>
      <c r="C97" s="22" t="s">
        <v>225</v>
      </c>
      <c r="D97" s="23">
        <v>24000</v>
      </c>
      <c r="E97" s="24">
        <v>20</v>
      </c>
      <c r="F97" s="5" t="s">
        <v>137</v>
      </c>
      <c r="G97" s="8">
        <v>20000</v>
      </c>
      <c r="H97" s="25">
        <f t="shared" si="2"/>
        <v>1.2</v>
      </c>
    </row>
    <row r="98" spans="2:8" ht="16.5" customHeight="1">
      <c r="B98" s="26">
        <v>92</v>
      </c>
      <c r="C98" s="27" t="s">
        <v>226</v>
      </c>
      <c r="D98" s="23">
        <v>1800</v>
      </c>
      <c r="E98" s="28">
        <v>0.2</v>
      </c>
      <c r="F98" s="26" t="s">
        <v>137</v>
      </c>
      <c r="G98" s="29">
        <v>200</v>
      </c>
      <c r="H98" s="25">
        <f t="shared" si="2"/>
        <v>9</v>
      </c>
    </row>
    <row r="99" spans="2:8" ht="16.5" customHeight="1">
      <c r="B99" s="5">
        <v>93</v>
      </c>
      <c r="C99" s="22" t="s">
        <v>227</v>
      </c>
      <c r="D99" s="23">
        <v>30000</v>
      </c>
      <c r="E99" s="24">
        <v>5</v>
      </c>
      <c r="F99" s="5" t="s">
        <v>137</v>
      </c>
      <c r="G99" s="8">
        <v>5000</v>
      </c>
      <c r="H99" s="25">
        <f t="shared" si="2"/>
        <v>6</v>
      </c>
    </row>
    <row r="100" spans="2:8" ht="16.5" customHeight="1">
      <c r="B100" s="26">
        <v>94</v>
      </c>
      <c r="C100" s="27" t="s">
        <v>228</v>
      </c>
      <c r="D100" s="23">
        <v>3800</v>
      </c>
      <c r="E100" s="28">
        <v>0.2</v>
      </c>
      <c r="F100" s="26" t="s">
        <v>137</v>
      </c>
      <c r="G100" s="29">
        <v>200</v>
      </c>
      <c r="H100" s="25">
        <f t="shared" si="2"/>
        <v>19</v>
      </c>
    </row>
    <row r="101" spans="2:8" ht="16.5" customHeight="1">
      <c r="B101" s="5">
        <v>95</v>
      </c>
      <c r="C101" s="22" t="s">
        <v>229</v>
      </c>
      <c r="D101" s="23">
        <v>3800</v>
      </c>
      <c r="E101" s="24">
        <v>0.2</v>
      </c>
      <c r="F101" s="5" t="s">
        <v>137</v>
      </c>
      <c r="G101" s="8">
        <v>200</v>
      </c>
      <c r="H101" s="25">
        <f t="shared" si="2"/>
        <v>19</v>
      </c>
    </row>
    <row r="102" spans="2:8" ht="16.5" customHeight="1">
      <c r="B102" s="26">
        <v>96</v>
      </c>
      <c r="C102" s="27" t="s">
        <v>230</v>
      </c>
      <c r="D102" s="23">
        <v>60000</v>
      </c>
      <c r="E102" s="28">
        <v>0</v>
      </c>
      <c r="F102" s="26" t="s">
        <v>137</v>
      </c>
      <c r="G102" s="29">
        <v>0</v>
      </c>
      <c r="H102" s="25">
        <f t="shared" si="2"/>
        <v>0</v>
      </c>
    </row>
    <row r="103" spans="2:8" ht="16.5" customHeight="1">
      <c r="B103" s="5">
        <v>97</v>
      </c>
      <c r="C103" s="22" t="s">
        <v>231</v>
      </c>
      <c r="D103" s="23">
        <v>64000</v>
      </c>
      <c r="E103" s="24">
        <v>0</v>
      </c>
      <c r="F103" s="5" t="s">
        <v>137</v>
      </c>
      <c r="G103" s="8">
        <v>0</v>
      </c>
      <c r="H103" s="25">
        <f t="shared" ref="H103:H125" si="3">IF(G103&gt;0,D103/G103,0)</f>
        <v>0</v>
      </c>
    </row>
    <row r="104" spans="2:8" ht="16.5" customHeight="1">
      <c r="B104" s="26">
        <v>98</v>
      </c>
      <c r="C104" s="30" t="s">
        <v>232</v>
      </c>
      <c r="D104" s="23">
        <v>63000</v>
      </c>
      <c r="E104" s="28">
        <v>0</v>
      </c>
      <c r="F104" s="26" t="s">
        <v>137</v>
      </c>
      <c r="G104" s="29">
        <v>0</v>
      </c>
      <c r="H104" s="25">
        <f t="shared" si="3"/>
        <v>0</v>
      </c>
    </row>
    <row r="105" spans="2:8" ht="16.5" customHeight="1">
      <c r="B105" s="5">
        <v>99</v>
      </c>
      <c r="C105" s="22" t="s">
        <v>233</v>
      </c>
      <c r="D105" s="23">
        <v>3500</v>
      </c>
      <c r="E105" s="24">
        <v>0.83499999999999996</v>
      </c>
      <c r="F105" s="5" t="s">
        <v>137</v>
      </c>
      <c r="G105" s="8">
        <v>835</v>
      </c>
      <c r="H105" s="25">
        <f t="shared" si="3"/>
        <v>4.1916167664670656</v>
      </c>
    </row>
    <row r="106" spans="2:8" ht="16.5" customHeight="1">
      <c r="B106" s="26">
        <v>100</v>
      </c>
      <c r="C106" s="27" t="s">
        <v>234</v>
      </c>
      <c r="D106" s="23">
        <v>3350</v>
      </c>
      <c r="E106" s="28">
        <v>0.56499999999999995</v>
      </c>
      <c r="F106" s="26" t="s">
        <v>137</v>
      </c>
      <c r="G106" s="29">
        <v>565</v>
      </c>
      <c r="H106" s="25">
        <f t="shared" si="3"/>
        <v>5.9292035398230087</v>
      </c>
    </row>
    <row r="107" spans="2:8" ht="16.5" customHeight="1">
      <c r="B107" s="5">
        <v>101</v>
      </c>
      <c r="C107" s="22" t="s">
        <v>235</v>
      </c>
      <c r="D107" s="23">
        <v>11900</v>
      </c>
      <c r="E107" s="24">
        <v>0.21</v>
      </c>
      <c r="F107" s="5" t="s">
        <v>137</v>
      </c>
      <c r="G107" s="8">
        <v>210</v>
      </c>
      <c r="H107" s="25">
        <f t="shared" si="3"/>
        <v>56.666666666666664</v>
      </c>
    </row>
    <row r="108" spans="2:8" ht="16.5" customHeight="1">
      <c r="B108" s="26">
        <v>102</v>
      </c>
      <c r="C108" s="27" t="s">
        <v>236</v>
      </c>
      <c r="D108" s="23">
        <v>14000</v>
      </c>
      <c r="E108" s="28">
        <v>1</v>
      </c>
      <c r="F108" s="26" t="s">
        <v>137</v>
      </c>
      <c r="G108" s="29">
        <v>1000</v>
      </c>
      <c r="H108" s="25">
        <f t="shared" si="3"/>
        <v>14</v>
      </c>
    </row>
    <row r="109" spans="2:8" ht="16.5" customHeight="1">
      <c r="B109" s="5">
        <v>103</v>
      </c>
      <c r="C109" s="22" t="s">
        <v>237</v>
      </c>
      <c r="D109" s="23">
        <v>1900</v>
      </c>
      <c r="E109" s="24">
        <v>0.08</v>
      </c>
      <c r="F109" s="5" t="s">
        <v>137</v>
      </c>
      <c r="G109" s="8">
        <v>80</v>
      </c>
      <c r="H109" s="25">
        <f t="shared" si="3"/>
        <v>23.75</v>
      </c>
    </row>
    <row r="110" spans="2:8" ht="16.5" customHeight="1">
      <c r="B110" s="26">
        <v>104</v>
      </c>
      <c r="C110" s="30" t="s">
        <v>238</v>
      </c>
      <c r="D110" s="23">
        <v>48500</v>
      </c>
      <c r="E110" s="28">
        <v>0.45</v>
      </c>
      <c r="F110" s="26" t="s">
        <v>137</v>
      </c>
      <c r="G110" s="29">
        <v>450</v>
      </c>
      <c r="H110" s="25">
        <f t="shared" si="3"/>
        <v>107.77777777777777</v>
      </c>
    </row>
    <row r="111" spans="2:8" ht="16.5" customHeight="1">
      <c r="B111" s="5">
        <v>105</v>
      </c>
      <c r="C111" s="22" t="s">
        <v>239</v>
      </c>
      <c r="D111" s="23">
        <v>11900</v>
      </c>
      <c r="E111" s="24">
        <v>0.8</v>
      </c>
      <c r="F111" s="5" t="s">
        <v>137</v>
      </c>
      <c r="G111" s="8">
        <v>800</v>
      </c>
      <c r="H111" s="25">
        <f t="shared" si="3"/>
        <v>14.875</v>
      </c>
    </row>
    <row r="112" spans="2:8" ht="16.5" customHeight="1">
      <c r="B112" s="26">
        <v>106</v>
      </c>
      <c r="C112" s="27" t="s">
        <v>240</v>
      </c>
      <c r="D112" s="23">
        <v>3910</v>
      </c>
      <c r="E112" s="28">
        <v>0.8</v>
      </c>
      <c r="F112" s="26" t="s">
        <v>137</v>
      </c>
      <c r="G112" s="29">
        <v>800</v>
      </c>
      <c r="H112" s="25">
        <f t="shared" si="3"/>
        <v>4.8875000000000002</v>
      </c>
    </row>
    <row r="113" spans="2:8" ht="16.5" customHeight="1">
      <c r="B113" s="5">
        <v>107</v>
      </c>
      <c r="C113" s="22" t="s">
        <v>241</v>
      </c>
      <c r="D113" s="23">
        <v>9900</v>
      </c>
      <c r="E113" s="24">
        <v>2</v>
      </c>
      <c r="F113" s="5" t="s">
        <v>137</v>
      </c>
      <c r="G113" s="8">
        <v>2000</v>
      </c>
      <c r="H113" s="25">
        <f t="shared" si="3"/>
        <v>4.95</v>
      </c>
    </row>
    <row r="114" spans="2:8" ht="16.5" customHeight="1">
      <c r="B114" s="26">
        <v>108</v>
      </c>
      <c r="C114" s="27" t="s">
        <v>156</v>
      </c>
      <c r="D114" s="23">
        <v>1250</v>
      </c>
      <c r="E114" s="28">
        <v>0.5</v>
      </c>
      <c r="F114" s="26" t="s">
        <v>137</v>
      </c>
      <c r="G114" s="29">
        <v>500</v>
      </c>
      <c r="H114" s="25">
        <f t="shared" si="3"/>
        <v>2.5</v>
      </c>
    </row>
    <row r="115" spans="2:8" ht="16.5" customHeight="1">
      <c r="B115" s="5">
        <v>109</v>
      </c>
      <c r="C115" s="22" t="s">
        <v>242</v>
      </c>
      <c r="D115" s="23">
        <v>4980</v>
      </c>
      <c r="E115" s="24">
        <v>0.5</v>
      </c>
      <c r="F115" s="5" t="s">
        <v>137</v>
      </c>
      <c r="G115" s="8">
        <v>500</v>
      </c>
      <c r="H115" s="25">
        <f t="shared" si="3"/>
        <v>9.9600000000000009</v>
      </c>
    </row>
    <row r="116" spans="2:8" ht="16.5" customHeight="1">
      <c r="B116" s="26">
        <v>110</v>
      </c>
      <c r="C116" s="27" t="s">
        <v>243</v>
      </c>
      <c r="D116" s="23">
        <v>5500</v>
      </c>
      <c r="E116" s="28">
        <v>0.55000000000000004</v>
      </c>
      <c r="F116" s="26" t="s">
        <v>137</v>
      </c>
      <c r="G116" s="29">
        <v>550</v>
      </c>
      <c r="H116" s="25">
        <f t="shared" si="3"/>
        <v>10</v>
      </c>
    </row>
    <row r="117" spans="2:8" ht="16.5" customHeight="1">
      <c r="B117" s="5">
        <v>111</v>
      </c>
      <c r="C117" s="22" t="s">
        <v>244</v>
      </c>
      <c r="D117" s="23">
        <v>16500</v>
      </c>
      <c r="E117" s="24">
        <v>3</v>
      </c>
      <c r="F117" s="5" t="s">
        <v>137</v>
      </c>
      <c r="G117" s="8">
        <v>3000</v>
      </c>
      <c r="H117" s="25">
        <f t="shared" si="3"/>
        <v>5.5</v>
      </c>
    </row>
    <row r="118" spans="2:8" ht="16.5" customHeight="1">
      <c r="B118" s="26">
        <v>112</v>
      </c>
      <c r="C118" s="27" t="s">
        <v>245</v>
      </c>
      <c r="D118" s="23">
        <v>2500</v>
      </c>
      <c r="E118" s="28">
        <v>0.5</v>
      </c>
      <c r="F118" s="26" t="s">
        <v>137</v>
      </c>
      <c r="G118" s="29">
        <v>500</v>
      </c>
      <c r="H118" s="25">
        <f t="shared" si="3"/>
        <v>5</v>
      </c>
    </row>
    <row r="119" spans="2:8" ht="16.5" customHeight="1">
      <c r="B119" s="5">
        <v>113</v>
      </c>
      <c r="C119" s="22" t="s">
        <v>246</v>
      </c>
      <c r="D119" s="23">
        <v>1600</v>
      </c>
      <c r="E119" s="24">
        <v>0.1</v>
      </c>
      <c r="F119" s="5" t="s">
        <v>137</v>
      </c>
      <c r="G119" s="8">
        <v>100</v>
      </c>
      <c r="H119" s="25">
        <f t="shared" si="3"/>
        <v>16</v>
      </c>
    </row>
    <row r="120" spans="2:8" ht="16.5" customHeight="1">
      <c r="B120" s="26">
        <v>114</v>
      </c>
      <c r="C120" s="27" t="s">
        <v>247</v>
      </c>
      <c r="D120" s="23">
        <v>3200</v>
      </c>
      <c r="E120" s="28">
        <v>1</v>
      </c>
      <c r="F120" s="26" t="s">
        <v>137</v>
      </c>
      <c r="G120" s="29">
        <v>1000</v>
      </c>
      <c r="H120" s="25">
        <f t="shared" si="3"/>
        <v>3.2</v>
      </c>
    </row>
    <row r="121" spans="2:8" ht="16.5" customHeight="1">
      <c r="B121" s="5">
        <v>115</v>
      </c>
      <c r="C121" s="22" t="s">
        <v>248</v>
      </c>
      <c r="D121" s="23">
        <v>23500</v>
      </c>
      <c r="E121" s="24">
        <v>1</v>
      </c>
      <c r="F121" s="5" t="s">
        <v>137</v>
      </c>
      <c r="G121" s="8">
        <v>1000</v>
      </c>
      <c r="H121" s="25">
        <f t="shared" si="3"/>
        <v>23.5</v>
      </c>
    </row>
    <row r="122" spans="2:8">
      <c r="B122" s="223">
        <v>116</v>
      </c>
      <c r="C122" s="222" t="s">
        <v>502</v>
      </c>
      <c r="D122" s="225">
        <v>23500</v>
      </c>
      <c r="E122" s="226">
        <v>1</v>
      </c>
      <c r="F122" s="223" t="s">
        <v>504</v>
      </c>
      <c r="G122" s="227">
        <v>1000</v>
      </c>
      <c r="H122" s="228">
        <f t="shared" si="3"/>
        <v>23.5</v>
      </c>
    </row>
    <row r="123" spans="2:8">
      <c r="B123" s="224">
        <v>117</v>
      </c>
      <c r="C123" s="222" t="s">
        <v>401</v>
      </c>
      <c r="D123" s="225">
        <v>700</v>
      </c>
      <c r="E123" s="229">
        <v>0.15</v>
      </c>
      <c r="F123" s="224" t="s">
        <v>505</v>
      </c>
      <c r="G123" s="230">
        <v>150</v>
      </c>
      <c r="H123" s="228">
        <f t="shared" si="3"/>
        <v>4.666666666666667</v>
      </c>
    </row>
    <row r="124" spans="2:8">
      <c r="B124" s="223">
        <v>118</v>
      </c>
      <c r="C124" s="222" t="s">
        <v>503</v>
      </c>
      <c r="D124" s="225">
        <v>9000</v>
      </c>
      <c r="E124" s="226">
        <v>2.4</v>
      </c>
      <c r="F124" s="223" t="s">
        <v>506</v>
      </c>
      <c r="G124" s="227">
        <v>2400</v>
      </c>
      <c r="H124" s="228">
        <f t="shared" si="3"/>
        <v>3.75</v>
      </c>
    </row>
    <row r="125" spans="2:8">
      <c r="B125" s="224">
        <v>119</v>
      </c>
      <c r="C125" s="222" t="s">
        <v>507</v>
      </c>
      <c r="D125" s="225">
        <v>14000</v>
      </c>
      <c r="E125" s="229">
        <v>3.2</v>
      </c>
      <c r="F125" s="224" t="s">
        <v>508</v>
      </c>
      <c r="G125" s="230">
        <v>3200</v>
      </c>
      <c r="H125" s="228">
        <f t="shared" si="3"/>
        <v>4.375</v>
      </c>
    </row>
  </sheetData>
  <mergeCells count="2">
    <mergeCell ref="B2:K2"/>
    <mergeCell ref="B4:K4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0000"/>
  </sheetPr>
  <dimension ref="A1:K27"/>
  <sheetViews>
    <sheetView showGridLines="0" zoomScaleNormal="100" workbookViewId="0">
      <pane xSplit="2" ySplit="7" topLeftCell="C14" activePane="bottomRight" state="frozen"/>
      <selection pane="topRight" activeCell="C1" sqref="C1"/>
      <selection pane="bottomLeft" activeCell="A8" sqref="A8"/>
      <selection pane="bottomRight" activeCell="I19" sqref="I19"/>
    </sheetView>
  </sheetViews>
  <sheetFormatPr defaultColWidth="8.6640625" defaultRowHeight="14.4"/>
  <cols>
    <col min="1" max="1" width="3" style="1" customWidth="1"/>
    <col min="2" max="2" width="4" style="1" customWidth="1"/>
    <col min="3" max="3" width="26" style="1" customWidth="1"/>
    <col min="4" max="4" width="17" style="1" customWidth="1"/>
    <col min="5" max="5" width="38" style="1" customWidth="1"/>
    <col min="6" max="6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199" t="s">
        <v>249</v>
      </c>
      <c r="C2" s="199"/>
      <c r="D2" s="199"/>
      <c r="E2" s="199"/>
      <c r="F2" s="199"/>
      <c r="G2" s="199"/>
      <c r="H2" s="199"/>
      <c r="I2" s="199"/>
      <c r="J2" s="199"/>
      <c r="K2" s="199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200" t="s">
        <v>250</v>
      </c>
      <c r="C4" s="200"/>
      <c r="D4" s="200"/>
      <c r="E4" s="200"/>
      <c r="F4" s="200"/>
      <c r="G4" s="200"/>
      <c r="H4" s="200"/>
      <c r="I4" s="200"/>
      <c r="J4" s="200"/>
      <c r="K4" s="200"/>
    </row>
    <row r="5" spans="2:11" ht="18.75" customHeight="1">
      <c r="B5" s="200" t="s">
        <v>251</v>
      </c>
      <c r="C5" s="200"/>
      <c r="D5" s="200"/>
      <c r="E5" s="200"/>
      <c r="F5" s="200"/>
      <c r="G5" s="200"/>
      <c r="H5" s="200"/>
      <c r="I5" s="200"/>
      <c r="J5" s="200"/>
      <c r="K5" s="200"/>
    </row>
    <row r="6" spans="2:11" ht="7.5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201" t="s">
        <v>252</v>
      </c>
      <c r="C7" s="201"/>
      <c r="D7" s="201"/>
      <c r="E7" s="201"/>
    </row>
    <row r="8" spans="2:11" ht="21.75" customHeight="1">
      <c r="B8" s="32" t="s">
        <v>6</v>
      </c>
      <c r="C8" s="33" t="s">
        <v>253</v>
      </c>
      <c r="D8" s="33" t="s">
        <v>254</v>
      </c>
      <c r="E8" s="33" t="s">
        <v>255</v>
      </c>
    </row>
    <row r="9" spans="2:11" ht="19.5" customHeight="1">
      <c r="B9" s="34">
        <v>1</v>
      </c>
      <c r="C9" s="164" t="s">
        <v>492</v>
      </c>
      <c r="D9" s="36">
        <v>12000000</v>
      </c>
      <c r="E9" s="165" t="s">
        <v>494</v>
      </c>
    </row>
    <row r="10" spans="2:11" ht="19.5" customHeight="1">
      <c r="B10" s="38">
        <v>2</v>
      </c>
      <c r="C10" s="39" t="s">
        <v>256</v>
      </c>
      <c r="D10" s="36">
        <v>205800</v>
      </c>
      <c r="E10" s="40" t="s">
        <v>257</v>
      </c>
    </row>
    <row r="11" spans="2:11" ht="19.5" customHeight="1">
      <c r="B11" s="34">
        <v>3</v>
      </c>
      <c r="C11" s="41" t="s">
        <v>258</v>
      </c>
      <c r="D11" s="36">
        <v>2336970</v>
      </c>
      <c r="E11" s="37" t="s">
        <v>259</v>
      </c>
    </row>
    <row r="12" spans="2:11" ht="19.5" customHeight="1">
      <c r="B12" s="38">
        <v>4</v>
      </c>
      <c r="C12" s="39" t="s">
        <v>260</v>
      </c>
      <c r="D12" s="36">
        <v>783420</v>
      </c>
      <c r="E12" s="40" t="s">
        <v>261</v>
      </c>
    </row>
    <row r="13" spans="2:11" ht="19.5" customHeight="1">
      <c r="B13" s="34">
        <v>5</v>
      </c>
      <c r="C13" s="164" t="s">
        <v>493</v>
      </c>
      <c r="D13" s="36">
        <v>8800000</v>
      </c>
      <c r="E13" s="37" t="s">
        <v>262</v>
      </c>
    </row>
    <row r="14" spans="2:11" ht="19.5" customHeight="1">
      <c r="B14" s="38">
        <v>6</v>
      </c>
      <c r="C14" s="39" t="s">
        <v>263</v>
      </c>
      <c r="D14" s="36">
        <v>50000</v>
      </c>
      <c r="E14" s="40" t="s">
        <v>264</v>
      </c>
    </row>
    <row r="15" spans="2:11" ht="19.5" customHeight="1">
      <c r="B15" s="34">
        <v>7</v>
      </c>
      <c r="C15" s="35" t="s">
        <v>495</v>
      </c>
      <c r="D15" s="36">
        <v>3894139</v>
      </c>
      <c r="E15" s="37" t="s">
        <v>496</v>
      </c>
    </row>
    <row r="16" spans="2:11" ht="19.5" customHeight="1">
      <c r="B16" s="38">
        <v>8</v>
      </c>
      <c r="C16" s="39" t="s">
        <v>497</v>
      </c>
      <c r="D16" s="36">
        <v>17000000</v>
      </c>
      <c r="E16" s="40" t="s">
        <v>498</v>
      </c>
    </row>
    <row r="17" spans="2:11" ht="19.5" customHeight="1">
      <c r="B17" s="34">
        <v>9</v>
      </c>
      <c r="C17" s="164" t="s">
        <v>499</v>
      </c>
      <c r="D17" s="36">
        <v>204000</v>
      </c>
      <c r="E17" s="165" t="s">
        <v>500</v>
      </c>
    </row>
    <row r="18" spans="2:11" ht="19.5" customHeight="1">
      <c r="B18" s="38">
        <v>10</v>
      </c>
      <c r="C18" s="39" t="s">
        <v>265</v>
      </c>
      <c r="D18" s="36">
        <v>391270</v>
      </c>
      <c r="E18" s="40" t="s">
        <v>266</v>
      </c>
    </row>
    <row r="19" spans="2:11" ht="19.5" customHeight="1">
      <c r="B19" s="34">
        <v>11</v>
      </c>
      <c r="C19" s="35" t="s">
        <v>267</v>
      </c>
      <c r="D19" s="36">
        <v>703730</v>
      </c>
      <c r="E19" s="37" t="s">
        <v>268</v>
      </c>
    </row>
    <row r="20" spans="2:11" ht="19.5" customHeight="1">
      <c r="B20" s="38">
        <v>12</v>
      </c>
      <c r="C20" s="39" t="s">
        <v>269</v>
      </c>
      <c r="D20" s="36">
        <v>48950</v>
      </c>
      <c r="E20" s="42" t="s">
        <v>270</v>
      </c>
    </row>
    <row r="21" spans="2:11" ht="19.5" customHeight="1">
      <c r="B21" s="34">
        <v>13</v>
      </c>
      <c r="C21" s="35" t="s">
        <v>271</v>
      </c>
      <c r="D21" s="36">
        <v>256800</v>
      </c>
      <c r="E21" s="37" t="s">
        <v>272</v>
      </c>
    </row>
    <row r="22" spans="2:11" ht="24" customHeight="1">
      <c r="B22" s="202" t="s">
        <v>273</v>
      </c>
      <c r="C22" s="202"/>
      <c r="D22" s="169">
        <f>SUM(D9:D21)</f>
        <v>46675079</v>
      </c>
      <c r="E22" s="43"/>
    </row>
    <row r="23" spans="2:11" ht="9.75" customHeight="1">
      <c r="B23" s="2"/>
      <c r="C23" s="2"/>
      <c r="D23" s="168"/>
      <c r="E23" s="2"/>
      <c r="F23" s="2"/>
      <c r="G23" s="2"/>
      <c r="H23" s="2"/>
      <c r="I23" s="2"/>
      <c r="J23" s="2"/>
      <c r="K23" s="2"/>
    </row>
    <row r="24" spans="2:11" ht="21.75" customHeight="1">
      <c r="B24" s="198" t="s">
        <v>274</v>
      </c>
      <c r="C24" s="198"/>
      <c r="D24" s="198"/>
      <c r="E24" s="198"/>
    </row>
    <row r="25" spans="2:11" ht="21.75" customHeight="1">
      <c r="B25" s="2"/>
      <c r="C25" s="44" t="s">
        <v>275</v>
      </c>
      <c r="D25" s="36">
        <v>70688000</v>
      </c>
      <c r="E25" s="45" t="s">
        <v>276</v>
      </c>
    </row>
    <row r="26" spans="2:11" ht="21.75" customHeight="1">
      <c r="B26" s="2"/>
      <c r="C26" s="35" t="s">
        <v>277</v>
      </c>
      <c r="D26" s="46">
        <f>D22/D25</f>
        <v>0.66029706598008153</v>
      </c>
      <c r="E26" s="45"/>
    </row>
    <row r="27" spans="2:11" ht="21.75" customHeight="1">
      <c r="B27" s="2"/>
      <c r="C27" s="35" t="s">
        <v>278</v>
      </c>
      <c r="D27" s="47" t="s">
        <v>279</v>
      </c>
      <c r="E27" s="45" t="s">
        <v>280</v>
      </c>
    </row>
  </sheetData>
  <mergeCells count="6">
    <mergeCell ref="B24:E24"/>
    <mergeCell ref="B2:K2"/>
    <mergeCell ref="B4:K4"/>
    <mergeCell ref="B5:K5"/>
    <mergeCell ref="B7:E7"/>
    <mergeCell ref="B22:C22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4F00"/>
  </sheetPr>
  <dimension ref="A1:K305"/>
  <sheetViews>
    <sheetView showGridLines="0" zoomScaleNormal="100" workbookViewId="0">
      <pane xSplit="2" ySplit="7" topLeftCell="C293" activePane="bottomRight" state="frozen"/>
      <selection pane="topRight" activeCell="C1" sqref="C1"/>
      <selection pane="bottomLeft" activeCell="A8" sqref="A8"/>
      <selection pane="bottomRight" activeCell="H285" sqref="H285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05" t="s">
        <v>281</v>
      </c>
      <c r="C2" s="205"/>
      <c r="D2" s="205"/>
      <c r="E2" s="205"/>
      <c r="F2" s="205"/>
      <c r="G2" s="205"/>
      <c r="H2" s="205"/>
      <c r="I2" s="205"/>
      <c r="J2" s="205"/>
      <c r="K2" s="205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48" t="s">
        <v>6</v>
      </c>
      <c r="C7" s="49" t="s">
        <v>130</v>
      </c>
      <c r="D7" s="49" t="s">
        <v>284</v>
      </c>
      <c r="E7" s="49" t="s">
        <v>285</v>
      </c>
      <c r="F7" s="49" t="s">
        <v>286</v>
      </c>
      <c r="G7" s="48" t="s">
        <v>287</v>
      </c>
      <c r="H7" s="49" t="s">
        <v>288</v>
      </c>
      <c r="I7" s="49" t="s">
        <v>289</v>
      </c>
    </row>
    <row r="8" spans="2:11" ht="27" customHeight="1">
      <c r="B8" s="50"/>
      <c r="C8" s="51" t="s">
        <v>290</v>
      </c>
      <c r="D8" s="50"/>
      <c r="E8" s="52">
        <v>13000</v>
      </c>
      <c r="F8" s="53">
        <f>IFERROR(SUM(H10,H11,H12,H13,H14,H15,H16,H17,H18,H19,H20,H21,H23,H24,H25,H26,H27),0)</f>
        <v>1734.246972934473</v>
      </c>
      <c r="G8" s="54">
        <f>IFERROR(E8*'💰 고정비용 DB'!$D$22/'💰 고정비용 DB'!$D$25,0)</f>
        <v>8583.8618577410598</v>
      </c>
      <c r="H8" s="55">
        <f>IFERROR(G8-F8,"")</f>
        <v>6849.6148848065868</v>
      </c>
      <c r="I8" s="56">
        <f>IFERROR(H8/E8,"")</f>
        <v>0.52689345267742971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198</v>
      </c>
      <c r="D10" s="59" t="s">
        <v>292</v>
      </c>
      <c r="E10" s="60">
        <v>100</v>
      </c>
      <c r="F10" s="61">
        <v>1</v>
      </c>
      <c r="G10" s="25">
        <f>IFERROR(VLOOKUP(C10,'🥬 식재료 DB'!$C$7:$H$121,6,0),"")</f>
        <v>4.4000000000000004</v>
      </c>
      <c r="H10" s="62">
        <f t="shared" ref="H10:H21" si="0">IFERROR(IF(AND(C10&lt;&gt;"",ISNUMBER(E10),ISNUMBER(F10),F10&gt;0,ISNUMBER(G10)),E10/F10*G10,""),"")</f>
        <v>440.00000000000006</v>
      </c>
      <c r="I10" s="63"/>
      <c r="J10" s="63"/>
    </row>
    <row r="11" spans="2:11" ht="16.5" customHeight="1">
      <c r="B11" s="58">
        <v>2</v>
      </c>
      <c r="C11" s="64" t="s">
        <v>149</v>
      </c>
      <c r="D11" s="59" t="s">
        <v>292</v>
      </c>
      <c r="E11" s="65">
        <v>5</v>
      </c>
      <c r="F11" s="66">
        <v>1</v>
      </c>
      <c r="G11" s="25">
        <f>IFERROR(VLOOKUP(C11,'🥬 식재료 DB'!$C$7:$H$121,6,0),"")</f>
        <v>12</v>
      </c>
      <c r="H11" s="62">
        <f t="shared" si="0"/>
        <v>60</v>
      </c>
      <c r="I11" s="67"/>
      <c r="J11" s="67"/>
    </row>
    <row r="12" spans="2:11" ht="16.5" customHeight="1">
      <c r="B12" s="58">
        <v>3</v>
      </c>
      <c r="C12" s="6" t="s">
        <v>224</v>
      </c>
      <c r="D12" s="59" t="s">
        <v>292</v>
      </c>
      <c r="E12" s="60">
        <v>5</v>
      </c>
      <c r="F12" s="61">
        <v>1</v>
      </c>
      <c r="G12" s="25">
        <f>IFERROR(VLOOKUP(C12,'🥬 식재료 DB'!$C$7:$H$121,6,0),"")</f>
        <v>18</v>
      </c>
      <c r="H12" s="62">
        <f t="shared" si="0"/>
        <v>90</v>
      </c>
      <c r="I12" s="63"/>
      <c r="J12" s="63"/>
    </row>
    <row r="13" spans="2:11" ht="16.5" customHeight="1">
      <c r="B13" s="58">
        <v>4</v>
      </c>
      <c r="C13" s="64" t="s">
        <v>169</v>
      </c>
      <c r="D13" s="59" t="s">
        <v>292</v>
      </c>
      <c r="E13" s="65">
        <v>30</v>
      </c>
      <c r="F13" s="66">
        <v>1</v>
      </c>
      <c r="G13" s="25">
        <f>IFERROR(VLOOKUP(C13,'🥬 식재료 DB'!$C$7:$H$121,6,0),"")</f>
        <v>1.3333333333333333</v>
      </c>
      <c r="H13" s="62">
        <f t="shared" si="0"/>
        <v>40</v>
      </c>
      <c r="I13" s="67"/>
      <c r="J13" s="67"/>
    </row>
    <row r="14" spans="2:11" ht="16.5" customHeight="1">
      <c r="B14" s="58">
        <v>5</v>
      </c>
      <c r="C14" s="6" t="s">
        <v>143</v>
      </c>
      <c r="D14" s="59" t="s">
        <v>292</v>
      </c>
      <c r="E14" s="60">
        <v>2</v>
      </c>
      <c r="F14" s="61">
        <v>0.9</v>
      </c>
      <c r="G14" s="25">
        <f>IFERROR(VLOOKUP(C14,'🥬 식재료 DB'!$C$7:$H$121,6,0),"")</f>
        <v>10</v>
      </c>
      <c r="H14" s="62">
        <f t="shared" si="0"/>
        <v>22.222222222222221</v>
      </c>
      <c r="I14" s="63"/>
      <c r="J14" s="63"/>
    </row>
    <row r="15" spans="2:11" ht="16.5" customHeight="1">
      <c r="B15" s="58">
        <v>6</v>
      </c>
      <c r="C15" s="64" t="s">
        <v>158</v>
      </c>
      <c r="D15" s="59" t="s">
        <v>292</v>
      </c>
      <c r="E15" s="65">
        <v>15</v>
      </c>
      <c r="F15" s="66">
        <v>1</v>
      </c>
      <c r="G15" s="25">
        <f>IFERROR(VLOOKUP(C15,'🥬 식재료 DB'!$C$7:$H$121,6,0),"")</f>
        <v>2.4</v>
      </c>
      <c r="H15" s="62">
        <f t="shared" si="0"/>
        <v>36</v>
      </c>
      <c r="I15" s="67"/>
      <c r="J15" s="67"/>
    </row>
    <row r="16" spans="2:11" ht="16.5" customHeight="1">
      <c r="B16" s="58">
        <v>7</v>
      </c>
      <c r="C16" s="6" t="s">
        <v>168</v>
      </c>
      <c r="D16" s="59" t="s">
        <v>292</v>
      </c>
      <c r="E16" s="60">
        <v>5</v>
      </c>
      <c r="F16" s="61">
        <v>1</v>
      </c>
      <c r="G16" s="25">
        <f>IFERROR(VLOOKUP(C16,'🥬 식재료 DB'!$C$7:$H$121,6,0),"")</f>
        <v>1</v>
      </c>
      <c r="H16" s="62">
        <f t="shared" si="0"/>
        <v>5</v>
      </c>
      <c r="I16" s="63"/>
      <c r="J16" s="63"/>
    </row>
    <row r="17" spans="2:11" ht="16.5" customHeight="1">
      <c r="B17" s="58">
        <v>8</v>
      </c>
      <c r="C17" s="64" t="s">
        <v>215</v>
      </c>
      <c r="D17" s="59" t="s">
        <v>292</v>
      </c>
      <c r="E17" s="65">
        <v>30</v>
      </c>
      <c r="F17" s="66">
        <v>1</v>
      </c>
      <c r="G17" s="25">
        <f>IFERROR(VLOOKUP(C17,'🥬 식재료 DB'!$C$7:$H$121,6,0),"")</f>
        <v>4.25</v>
      </c>
      <c r="H17" s="62">
        <f t="shared" si="0"/>
        <v>127.5</v>
      </c>
      <c r="I17" s="67"/>
      <c r="J17" s="67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67"/>
      <c r="J19" s="67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67"/>
      <c r="J21" s="67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" t="s">
        <v>294</v>
      </c>
      <c r="D23" s="72" t="s">
        <v>295</v>
      </c>
      <c r="E23" s="60">
        <v>200</v>
      </c>
      <c r="F23" s="61">
        <v>1</v>
      </c>
      <c r="G23" s="73">
        <f>IFERROR(VLOOKUP(C23,'🧪 프렙 원가표'!$C$8:$D$18,2,0),IFERROR(VLOOKUP(C23,'🥬 식재료 DB'!$C$7:$H$121,6,0),""))</f>
        <v>2.9176237535612533</v>
      </c>
      <c r="H23" s="74">
        <f>IFERROR(IF(AND(C23&lt;&gt;"",ISNUMBER(E23),ISNUMBER(F23),F23&gt;0,ISNUMBER(G23)),E23/F23*G23,""),"")</f>
        <v>583.52475071225069</v>
      </c>
      <c r="I23" s="63"/>
      <c r="J23" s="63"/>
    </row>
    <row r="24" spans="2:11" ht="16.5" customHeight="1">
      <c r="B24" s="71">
        <v>14</v>
      </c>
      <c r="C24" s="12" t="s">
        <v>296</v>
      </c>
      <c r="D24" s="72" t="s">
        <v>295</v>
      </c>
      <c r="E24" s="75">
        <v>30</v>
      </c>
      <c r="F24" s="76">
        <v>1</v>
      </c>
      <c r="G24" s="73">
        <f>IFERROR(VLOOKUP(C24,'🧪 프렙 원가표'!$C$8:$D$18,2,0),IFERROR(VLOOKUP(C24,'🥬 식재료 DB'!$C$7:$H$121,6,0),""))</f>
        <v>11</v>
      </c>
      <c r="H24" s="74">
        <f>IFERROR(IF(AND(C24&lt;&gt;"",ISNUMBER(E24),ISNUMBER(F24),F24&gt;0,ISNUMBER(G24)),E24/F24*G24,""),"")</f>
        <v>330</v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297</v>
      </c>
      <c r="D29" s="50"/>
      <c r="E29" s="52">
        <v>12000</v>
      </c>
      <c r="F29" s="53">
        <f>IFERROR(SUM(H31,H32,H33,H34,H35,H36,H37,H38,H39,H40,H41,H42,H44,H45,H46,H47,H48),0)</f>
        <v>1558.0247507122508</v>
      </c>
      <c r="G29" s="54">
        <f>IFERROR(E29*'💰 고정비용 DB'!$D$22/'💰 고정비용 DB'!$D$25,0)</f>
        <v>7923.5647917609776</v>
      </c>
      <c r="H29" s="55">
        <f>IFERROR(G29-F29,"")</f>
        <v>6365.5400410487273</v>
      </c>
      <c r="I29" s="56">
        <f>IFERROR(H29/E29,"")</f>
        <v>0.53046167008739398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198</v>
      </c>
      <c r="D31" s="59" t="s">
        <v>292</v>
      </c>
      <c r="E31" s="60">
        <v>100</v>
      </c>
      <c r="F31" s="61">
        <v>1</v>
      </c>
      <c r="G31" s="25">
        <f>IFERROR(VLOOKUP(C31,'🥬 식재료 DB'!$C$7:$H$121,6,0),"")</f>
        <v>4.4000000000000004</v>
      </c>
      <c r="H31" s="62">
        <f t="shared" ref="H31:H42" si="1">IFERROR(IF(AND(C31&lt;&gt;"",ISNUMBER(E31),ISNUMBER(F31),F31&gt;0,ISNUMBER(G31)),E31/F31*G31,""),"")</f>
        <v>440.00000000000006</v>
      </c>
      <c r="I31" s="63"/>
      <c r="J31" s="63"/>
    </row>
    <row r="32" spans="2:11" ht="16.5" customHeight="1">
      <c r="B32" s="58">
        <v>2</v>
      </c>
      <c r="C32" s="64" t="s">
        <v>224</v>
      </c>
      <c r="D32" s="59" t="s">
        <v>292</v>
      </c>
      <c r="E32" s="65">
        <v>2</v>
      </c>
      <c r="F32" s="66">
        <v>1</v>
      </c>
      <c r="G32" s="25">
        <f>IFERROR(VLOOKUP(C32,'🥬 식재료 DB'!$C$7:$H$121,6,0),"")</f>
        <v>18</v>
      </c>
      <c r="H32" s="62">
        <f t="shared" si="1"/>
        <v>36</v>
      </c>
      <c r="I32" s="67"/>
      <c r="J32" s="67"/>
    </row>
    <row r="33" spans="2:11" ht="16.5" customHeight="1">
      <c r="B33" s="58">
        <v>3</v>
      </c>
      <c r="C33" s="6" t="s">
        <v>158</v>
      </c>
      <c r="D33" s="59" t="s">
        <v>292</v>
      </c>
      <c r="E33" s="60">
        <v>15</v>
      </c>
      <c r="F33" s="61">
        <v>1</v>
      </c>
      <c r="G33" s="25">
        <f>IFERROR(VLOOKUP(C33,'🥬 식재료 DB'!$C$7:$H$121,6,0),"")</f>
        <v>2.4</v>
      </c>
      <c r="H33" s="62">
        <f t="shared" si="1"/>
        <v>36</v>
      </c>
      <c r="I33" s="63"/>
      <c r="J33" s="63"/>
    </row>
    <row r="34" spans="2:11" ht="16.5" customHeight="1">
      <c r="B34" s="58">
        <v>4</v>
      </c>
      <c r="C34" s="64" t="s">
        <v>168</v>
      </c>
      <c r="D34" s="59" t="s">
        <v>292</v>
      </c>
      <c r="E34" s="65">
        <v>5</v>
      </c>
      <c r="F34" s="66">
        <v>1</v>
      </c>
      <c r="G34" s="25">
        <f>IFERROR(VLOOKUP(C34,'🥬 식재료 DB'!$C$7:$H$121,6,0),"")</f>
        <v>1</v>
      </c>
      <c r="H34" s="62">
        <f t="shared" si="1"/>
        <v>5</v>
      </c>
      <c r="I34" s="67"/>
      <c r="J34" s="67"/>
    </row>
    <row r="35" spans="2:11" ht="16.5" customHeight="1">
      <c r="B35" s="58">
        <v>5</v>
      </c>
      <c r="C35" s="6" t="s">
        <v>215</v>
      </c>
      <c r="D35" s="59" t="s">
        <v>292</v>
      </c>
      <c r="E35" s="60">
        <v>30</v>
      </c>
      <c r="F35" s="61">
        <v>1</v>
      </c>
      <c r="G35" s="25">
        <f>IFERROR(VLOOKUP(C35,'🥬 식재료 DB'!$C$7:$H$121,6,0),"")</f>
        <v>4.25</v>
      </c>
      <c r="H35" s="62">
        <f t="shared" si="1"/>
        <v>127.5</v>
      </c>
      <c r="I35" s="63"/>
      <c r="J35" s="63"/>
    </row>
    <row r="36" spans="2:11" ht="16.5" customHeight="1">
      <c r="B36" s="58">
        <v>6</v>
      </c>
      <c r="C36" s="68"/>
      <c r="D36" s="59" t="s">
        <v>292</v>
      </c>
      <c r="E36" s="69"/>
      <c r="F36" s="70"/>
      <c r="G36" s="25" t="str">
        <f>IFERROR(VLOOKUP(C36,'🥬 식재료 DB'!$C$7:$H$121,6,0),"")</f>
        <v/>
      </c>
      <c r="H36" s="62" t="str">
        <f t="shared" si="1"/>
        <v/>
      </c>
      <c r="I36" s="67"/>
      <c r="J36" s="67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67"/>
      <c r="J38" s="67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67"/>
      <c r="J40" s="67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67"/>
      <c r="J42" s="67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" t="s">
        <v>294</v>
      </c>
      <c r="D44" s="72" t="s">
        <v>295</v>
      </c>
      <c r="E44" s="60">
        <v>200</v>
      </c>
      <c r="F44" s="61">
        <v>1</v>
      </c>
      <c r="G44" s="73">
        <f>IFERROR(VLOOKUP(C44,'🧪 프렙 원가표'!$C$8:$D$18,2,0),IFERROR(VLOOKUP(C44,'🥬 식재료 DB'!$C$7:$H$121,6,0),""))</f>
        <v>2.9176237535612533</v>
      </c>
      <c r="H44" s="74">
        <f>IFERROR(IF(AND(C44&lt;&gt;"",ISNUMBER(E44),ISNUMBER(F44),F44&gt;0,ISNUMBER(G44)),E44/F44*G44,""),"")</f>
        <v>583.52475071225069</v>
      </c>
      <c r="I44" s="63"/>
      <c r="J44" s="63"/>
    </row>
    <row r="45" spans="2:11" ht="16.5" customHeight="1">
      <c r="B45" s="71">
        <v>14</v>
      </c>
      <c r="C45" s="12" t="s">
        <v>296</v>
      </c>
      <c r="D45" s="72" t="s">
        <v>295</v>
      </c>
      <c r="E45" s="75">
        <v>30</v>
      </c>
      <c r="F45" s="76">
        <v>1</v>
      </c>
      <c r="G45" s="73">
        <f>IFERROR(VLOOKUP(C45,'🧪 프렙 원가표'!$C$8:$D$18,2,0),IFERROR(VLOOKUP(C45,'🥬 식재료 DB'!$C$7:$H$121,6,0),""))</f>
        <v>11</v>
      </c>
      <c r="H45" s="74">
        <f>IFERROR(IF(AND(C45&lt;&gt;"",ISNUMBER(E45),ISNUMBER(F45),F45&gt;0,ISNUMBER(G45)),E45/F45*G45,""),"")</f>
        <v>330</v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298</v>
      </c>
      <c r="D50" s="50"/>
      <c r="E50" s="52">
        <v>12000</v>
      </c>
      <c r="F50" s="53">
        <f>IFERROR(SUM(H52,H53,H54,H55,H56,H57,H58,H59,H60,H61,H62,H63,H65,H66,H67,H68,H69),0)</f>
        <v>1859.4382122507122</v>
      </c>
      <c r="G50" s="54">
        <f>IFERROR(E50*'💰 고정비용 DB'!$D$22/'💰 고정비용 DB'!$D$25,0)</f>
        <v>7923.5647917609776</v>
      </c>
      <c r="H50" s="55">
        <f>IFERROR(G50-F50,"")</f>
        <v>6064.1265795102654</v>
      </c>
      <c r="I50" s="56">
        <f>IFERROR(H50/E50,"")</f>
        <v>0.50534388162585542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198</v>
      </c>
      <c r="D52" s="59" t="s">
        <v>292</v>
      </c>
      <c r="E52" s="60">
        <v>100</v>
      </c>
      <c r="F52" s="61">
        <v>1</v>
      </c>
      <c r="G52" s="25">
        <f>IFERROR(VLOOKUP(C52,'🥬 식재료 DB'!$C$7:$H$121,6,0),"")</f>
        <v>4.4000000000000004</v>
      </c>
      <c r="H52" s="62">
        <f t="shared" ref="H52:H63" si="2">IFERROR(IF(AND(C52&lt;&gt;"",ISNUMBER(E52),ISNUMBER(F52),F52&gt;0,ISNUMBER(G52)),E52/F52*G52,""),"")</f>
        <v>440.00000000000006</v>
      </c>
      <c r="I52" s="63"/>
      <c r="J52" s="63"/>
    </row>
    <row r="53" spans="2:11" ht="16.5" customHeight="1">
      <c r="B53" s="58">
        <v>2</v>
      </c>
      <c r="C53" s="64" t="s">
        <v>222</v>
      </c>
      <c r="D53" s="59" t="s">
        <v>292</v>
      </c>
      <c r="E53" s="65">
        <v>50</v>
      </c>
      <c r="F53" s="66">
        <v>1</v>
      </c>
      <c r="G53" s="25">
        <f>IFERROR(VLOOKUP(C53,'🥬 식재료 DB'!$C$7:$H$121,6,0),"")</f>
        <v>3.2307692307692308</v>
      </c>
      <c r="H53" s="62">
        <f t="shared" si="2"/>
        <v>161.53846153846155</v>
      </c>
      <c r="I53" s="67"/>
      <c r="J53" s="67"/>
    </row>
    <row r="54" spans="2:11" ht="16.5" customHeight="1">
      <c r="B54" s="58">
        <v>3</v>
      </c>
      <c r="C54" s="6" t="s">
        <v>227</v>
      </c>
      <c r="D54" s="59" t="s">
        <v>292</v>
      </c>
      <c r="E54" s="60">
        <v>15</v>
      </c>
      <c r="F54" s="61">
        <v>1</v>
      </c>
      <c r="G54" s="25">
        <f>IFERROR(VLOOKUP(C54,'🥬 식재료 DB'!$C$7:$H$121,6,0),"")</f>
        <v>6</v>
      </c>
      <c r="H54" s="62">
        <f t="shared" si="2"/>
        <v>90</v>
      </c>
      <c r="I54" s="63"/>
      <c r="J54" s="63"/>
    </row>
    <row r="55" spans="2:11" ht="16.5" customHeight="1">
      <c r="B55" s="58">
        <v>4</v>
      </c>
      <c r="C55" s="64" t="s">
        <v>236</v>
      </c>
      <c r="D55" s="59" t="s">
        <v>292</v>
      </c>
      <c r="E55" s="65">
        <v>15</v>
      </c>
      <c r="F55" s="66">
        <v>1</v>
      </c>
      <c r="G55" s="25">
        <f>IFERROR(VLOOKUP(C55,'🥬 식재료 DB'!$C$7:$H$121,6,0),"")</f>
        <v>14</v>
      </c>
      <c r="H55" s="62">
        <f t="shared" si="2"/>
        <v>210</v>
      </c>
      <c r="I55" s="67"/>
      <c r="J55" s="67"/>
    </row>
    <row r="56" spans="2:11" ht="16.5" customHeight="1">
      <c r="B56" s="58">
        <v>5</v>
      </c>
      <c r="C56" s="6" t="s">
        <v>168</v>
      </c>
      <c r="D56" s="59" t="s">
        <v>292</v>
      </c>
      <c r="E56" s="60">
        <v>5</v>
      </c>
      <c r="F56" s="61">
        <v>1</v>
      </c>
      <c r="G56" s="25">
        <f>IFERROR(VLOOKUP(C56,'🥬 식재료 DB'!$C$7:$H$121,6,0),"")</f>
        <v>1</v>
      </c>
      <c r="H56" s="62">
        <f t="shared" si="2"/>
        <v>5</v>
      </c>
      <c r="I56" s="63"/>
      <c r="J56" s="63"/>
    </row>
    <row r="57" spans="2:11" ht="16.5" customHeight="1">
      <c r="B57" s="58">
        <v>6</v>
      </c>
      <c r="C57" s="64" t="s">
        <v>150</v>
      </c>
      <c r="D57" s="59" t="s">
        <v>292</v>
      </c>
      <c r="E57" s="65">
        <v>15</v>
      </c>
      <c r="F57" s="66">
        <v>1</v>
      </c>
      <c r="G57" s="25">
        <f>IFERROR(VLOOKUP(C57,'🥬 식재료 DB'!$C$7:$H$121,6,0),"")</f>
        <v>2.625</v>
      </c>
      <c r="H57" s="62">
        <f t="shared" si="2"/>
        <v>39.375</v>
      </c>
      <c r="I57" s="67"/>
      <c r="J57" s="67"/>
    </row>
    <row r="58" spans="2:11" ht="16.5" customHeight="1">
      <c r="B58" s="58">
        <v>7</v>
      </c>
      <c r="C58" s="68"/>
      <c r="D58" s="59" t="s">
        <v>292</v>
      </c>
      <c r="E58" s="69"/>
      <c r="F58" s="70"/>
      <c r="G58" s="25" t="str">
        <f>IFERROR(VLOOKUP(C58,'🥬 식재료 DB'!$C$7:$H$121,6,0),"")</f>
        <v/>
      </c>
      <c r="H58" s="62" t="str">
        <f t="shared" si="2"/>
        <v/>
      </c>
      <c r="I58" s="63"/>
      <c r="J58" s="63"/>
    </row>
    <row r="59" spans="2:11" ht="16.5" customHeight="1">
      <c r="B59" s="58">
        <v>8</v>
      </c>
      <c r="C59" s="68"/>
      <c r="D59" s="59" t="s">
        <v>292</v>
      </c>
      <c r="E59" s="69"/>
      <c r="F59" s="70"/>
      <c r="G59" s="25" t="str">
        <f>IFERROR(VLOOKUP(C59,'🥬 식재료 DB'!$C$7:$H$121,6,0),"")</f>
        <v/>
      </c>
      <c r="H59" s="62" t="str">
        <f t="shared" si="2"/>
        <v/>
      </c>
      <c r="I59" s="67"/>
      <c r="J59" s="67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67"/>
      <c r="J61" s="67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67"/>
      <c r="J63" s="67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" t="s">
        <v>294</v>
      </c>
      <c r="D65" s="72" t="s">
        <v>295</v>
      </c>
      <c r="E65" s="60">
        <v>200</v>
      </c>
      <c r="F65" s="61">
        <v>1</v>
      </c>
      <c r="G65" s="73">
        <f>IFERROR(VLOOKUP(C65,'🧪 프렙 원가표'!$C$8:$D$18,2,0),IFERROR(VLOOKUP(C65,'🥬 식재료 DB'!$C$7:$H$121,6,0),""))</f>
        <v>2.9176237535612533</v>
      </c>
      <c r="H65" s="74">
        <f>IFERROR(IF(AND(C65&lt;&gt;"",ISNUMBER(E65),ISNUMBER(F65),F65&gt;0,ISNUMBER(G65)),E65/F65*G65,""),"")</f>
        <v>583.52475071225069</v>
      </c>
      <c r="I65" s="63"/>
      <c r="J65" s="63"/>
    </row>
    <row r="66" spans="2:11" ht="16.5" customHeight="1">
      <c r="B66" s="71">
        <v>14</v>
      </c>
      <c r="C66" s="12" t="s">
        <v>296</v>
      </c>
      <c r="D66" s="72" t="s">
        <v>295</v>
      </c>
      <c r="E66" s="75">
        <v>30</v>
      </c>
      <c r="F66" s="76">
        <v>1</v>
      </c>
      <c r="G66" s="73">
        <f>IFERROR(VLOOKUP(C66,'🧪 프렙 원가표'!$C$8:$D$18,2,0),IFERROR(VLOOKUP(C66,'🥬 식재료 DB'!$C$7:$H$121,6,0),""))</f>
        <v>11</v>
      </c>
      <c r="H66" s="74">
        <f>IFERROR(IF(AND(C66&lt;&gt;"",ISNUMBER(E66),ISNUMBER(F66),F66&gt;0,ISNUMBER(G66)),E66/F66*G66,""),"")</f>
        <v>330</v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299</v>
      </c>
      <c r="D71" s="50"/>
      <c r="E71" s="52">
        <v>13000</v>
      </c>
      <c r="F71" s="53">
        <f>IFERROR(SUM(H73,H74,H75,H76,H77,H78,H79,H80,H81,H82,H83,H84,H86,H87,H88,H89,H90),0)</f>
        <v>1125.1148504273503</v>
      </c>
      <c r="G71" s="54">
        <f>IFERROR(E71*'💰 고정비용 DB'!$D$22/'💰 고정비용 DB'!$D$25,0)</f>
        <v>8583.8618577410598</v>
      </c>
      <c r="H71" s="55">
        <f>IFERROR(G71-F71,"")</f>
        <v>7458.7470073137092</v>
      </c>
      <c r="I71" s="56">
        <f>IFERROR(H71/E71,"")</f>
        <v>0.57374976979336223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300</v>
      </c>
      <c r="D73" s="59" t="s">
        <v>292</v>
      </c>
      <c r="E73" s="60">
        <v>70</v>
      </c>
      <c r="F73" s="61">
        <v>1</v>
      </c>
      <c r="G73" s="25" t="str">
        <f>IFERROR(VLOOKUP(C73,'🥬 식재료 DB'!$C$7:$H$121,6,0),"")</f>
        <v/>
      </c>
      <c r="H73" s="62" t="str">
        <f t="shared" ref="H73:H84" si="3">IFERROR(IF(AND(C73&lt;&gt;"",ISNUMBER(E73),ISNUMBER(F73),F73&gt;0,ISNUMBER(G73)),E73/F73*G73,""),"")</f>
        <v/>
      </c>
      <c r="I73" s="63"/>
      <c r="J73" s="63"/>
    </row>
    <row r="74" spans="2:11" ht="16.5" customHeight="1">
      <c r="B74" s="58">
        <v>2</v>
      </c>
      <c r="C74" s="64" t="s">
        <v>223</v>
      </c>
      <c r="D74" s="59" t="s">
        <v>292</v>
      </c>
      <c r="E74" s="65">
        <v>30</v>
      </c>
      <c r="F74" s="66">
        <v>1</v>
      </c>
      <c r="G74" s="25">
        <f>IFERROR(VLOOKUP(C74,'🥬 식재료 DB'!$C$7:$H$121,6,0),"")</f>
        <v>10</v>
      </c>
      <c r="H74" s="62">
        <f t="shared" si="3"/>
        <v>300</v>
      </c>
      <c r="I74" s="67"/>
      <c r="J74" s="67"/>
    </row>
    <row r="75" spans="2:11" ht="16.5" customHeight="1">
      <c r="B75" s="58">
        <v>3</v>
      </c>
      <c r="C75" s="6" t="s">
        <v>227</v>
      </c>
      <c r="D75" s="59" t="s">
        <v>292</v>
      </c>
      <c r="E75" s="60">
        <v>15</v>
      </c>
      <c r="F75" s="61">
        <v>1</v>
      </c>
      <c r="G75" s="25">
        <f>IFERROR(VLOOKUP(C75,'🥬 식재료 DB'!$C$7:$H$121,6,0),"")</f>
        <v>6</v>
      </c>
      <c r="H75" s="62">
        <f t="shared" si="3"/>
        <v>90</v>
      </c>
      <c r="I75" s="63"/>
      <c r="J75" s="63"/>
    </row>
    <row r="76" spans="2:11" ht="16.5" customHeight="1">
      <c r="B76" s="58">
        <v>4</v>
      </c>
      <c r="C76" s="64" t="s">
        <v>301</v>
      </c>
      <c r="D76" s="59" t="s">
        <v>292</v>
      </c>
      <c r="E76" s="65">
        <v>10</v>
      </c>
      <c r="F76" s="66">
        <v>1</v>
      </c>
      <c r="G76" s="25" t="str">
        <f>IFERROR(VLOOKUP(C76,'🥬 식재료 DB'!$C$7:$H$121,6,0),"")</f>
        <v/>
      </c>
      <c r="H76" s="62" t="str">
        <f t="shared" si="3"/>
        <v/>
      </c>
      <c r="I76" s="67"/>
      <c r="J76" s="67"/>
    </row>
    <row r="77" spans="2:11" ht="16.5" customHeight="1">
      <c r="B77" s="58">
        <v>5</v>
      </c>
      <c r="C77" s="17" t="s">
        <v>177</v>
      </c>
      <c r="D77" s="59" t="s">
        <v>292</v>
      </c>
      <c r="E77" s="60">
        <v>15</v>
      </c>
      <c r="F77" s="61">
        <v>1</v>
      </c>
      <c r="G77" s="25">
        <f>IFERROR(VLOOKUP(C77,'🥬 식재료 DB'!$C$7:$H$121,6,0),"")</f>
        <v>22.5</v>
      </c>
      <c r="H77" s="62">
        <f t="shared" si="3"/>
        <v>337.5</v>
      </c>
      <c r="I77" s="63"/>
      <c r="J77" s="63"/>
    </row>
    <row r="78" spans="2:11" ht="16.5" customHeight="1">
      <c r="B78" s="58">
        <v>6</v>
      </c>
      <c r="C78" s="79" t="s">
        <v>302</v>
      </c>
      <c r="D78" s="59" t="s">
        <v>292</v>
      </c>
      <c r="E78" s="65">
        <v>10</v>
      </c>
      <c r="F78" s="66">
        <v>1</v>
      </c>
      <c r="G78" s="25" t="str">
        <f>IFERROR(VLOOKUP(C78,'🥬 식재료 DB'!$C$7:$H$121,6,0),"")</f>
        <v/>
      </c>
      <c r="H78" s="62" t="str">
        <f t="shared" si="3"/>
        <v/>
      </c>
      <c r="I78" s="67"/>
      <c r="J78" s="67"/>
    </row>
    <row r="79" spans="2:11" ht="16.5" customHeight="1">
      <c r="B79" s="58">
        <v>7</v>
      </c>
      <c r="C79" s="6" t="s">
        <v>303</v>
      </c>
      <c r="D79" s="59" t="s">
        <v>292</v>
      </c>
      <c r="E79" s="60">
        <v>10</v>
      </c>
      <c r="F79" s="61">
        <v>1</v>
      </c>
      <c r="G79" s="25" t="str">
        <f>IFERROR(VLOOKUP(C79,'🥬 식재료 DB'!$C$7:$H$121,6,0),"")</f>
        <v/>
      </c>
      <c r="H79" s="62" t="str">
        <f t="shared" si="3"/>
        <v/>
      </c>
      <c r="I79" s="63"/>
      <c r="J79" s="63"/>
    </row>
    <row r="80" spans="2:11" ht="16.5" customHeight="1">
      <c r="B80" s="58">
        <v>8</v>
      </c>
      <c r="C80" s="64" t="s">
        <v>215</v>
      </c>
      <c r="D80" s="59" t="s">
        <v>292</v>
      </c>
      <c r="E80" s="65">
        <v>10</v>
      </c>
      <c r="F80" s="66">
        <v>1</v>
      </c>
      <c r="G80" s="25">
        <f>IFERROR(VLOOKUP(C80,'🥬 식재료 DB'!$C$7:$H$121,6,0),"")</f>
        <v>4.25</v>
      </c>
      <c r="H80" s="62">
        <f t="shared" si="3"/>
        <v>42.5</v>
      </c>
      <c r="I80" s="67"/>
      <c r="J80" s="67"/>
    </row>
    <row r="81" spans="2:11" ht="16.5" customHeight="1">
      <c r="B81" s="58">
        <v>9</v>
      </c>
      <c r="C81" s="6" t="s">
        <v>168</v>
      </c>
      <c r="D81" s="59" t="s">
        <v>292</v>
      </c>
      <c r="E81" s="60">
        <v>5</v>
      </c>
      <c r="F81" s="61">
        <v>1</v>
      </c>
      <c r="G81" s="25">
        <f>IFERROR(VLOOKUP(C81,'🥬 식재료 DB'!$C$7:$H$121,6,0),"")</f>
        <v>1</v>
      </c>
      <c r="H81" s="62">
        <f t="shared" si="3"/>
        <v>5</v>
      </c>
      <c r="I81" s="63"/>
      <c r="J81" s="63"/>
    </row>
    <row r="82" spans="2:11" ht="16.5" customHeight="1">
      <c r="B82" s="58">
        <v>10</v>
      </c>
      <c r="C82" s="68"/>
      <c r="D82" s="59" t="s">
        <v>292</v>
      </c>
      <c r="E82" s="69"/>
      <c r="F82" s="70"/>
      <c r="G82" s="25" t="str">
        <f>IFERROR(VLOOKUP(C82,'🥬 식재료 DB'!$C$7:$H$121,6,0),"")</f>
        <v/>
      </c>
      <c r="H82" s="62" t="str">
        <f t="shared" si="3"/>
        <v/>
      </c>
      <c r="I82" s="67"/>
      <c r="J82" s="67"/>
    </row>
    <row r="83" spans="2:11" ht="16.5" customHeight="1">
      <c r="B83" s="58">
        <v>11</v>
      </c>
      <c r="C83" s="68"/>
      <c r="D83" s="59" t="s">
        <v>292</v>
      </c>
      <c r="E83" s="69"/>
      <c r="F83" s="70"/>
      <c r="G83" s="25" t="str">
        <f>IFERROR(VLOOKUP(C83,'🥬 식재료 DB'!$C$7:$H$121,6,0),"")</f>
        <v/>
      </c>
      <c r="H83" s="62" t="str">
        <f t="shared" si="3"/>
        <v/>
      </c>
      <c r="I83" s="63"/>
      <c r="J83" s="63"/>
    </row>
    <row r="84" spans="2:11" ht="16.5" customHeight="1">
      <c r="B84" s="58">
        <v>12</v>
      </c>
      <c r="C84" s="68"/>
      <c r="D84" s="59" t="s">
        <v>292</v>
      </c>
      <c r="E84" s="69"/>
      <c r="F84" s="70"/>
      <c r="G84" s="25" t="str">
        <f>IFERROR(VLOOKUP(C84,'🥬 식재료 DB'!$C$7:$H$121,6,0),"")</f>
        <v/>
      </c>
      <c r="H84" s="62" t="str">
        <f t="shared" si="3"/>
        <v/>
      </c>
      <c r="I84" s="67"/>
      <c r="J84" s="67"/>
    </row>
    <row r="85" spans="2:11" ht="12.75" customHeight="1">
      <c r="B85" s="203" t="s">
        <v>293</v>
      </c>
      <c r="C85" s="203"/>
      <c r="D85" s="203"/>
      <c r="E85" s="203"/>
      <c r="F85" s="203"/>
      <c r="G85" s="203"/>
      <c r="H85" s="203"/>
      <c r="I85" s="203"/>
      <c r="J85" s="203"/>
      <c r="K85" s="203"/>
    </row>
    <row r="86" spans="2:11" ht="16.5" customHeight="1">
      <c r="B86" s="71">
        <v>13</v>
      </c>
      <c r="C86" s="6" t="s">
        <v>294</v>
      </c>
      <c r="D86" s="72" t="s">
        <v>295</v>
      </c>
      <c r="E86" s="60">
        <v>120</v>
      </c>
      <c r="F86" s="61">
        <v>1</v>
      </c>
      <c r="G86" s="73">
        <f>IFERROR(VLOOKUP(C86,'🧪 프렙 원가표'!$C$8:$D$18,2,0),IFERROR(VLOOKUP(C86,'🥬 식재료 DB'!$C$7:$H$121,6,0),""))</f>
        <v>2.9176237535612533</v>
      </c>
      <c r="H86" s="74">
        <f>IFERROR(IF(AND(C86&lt;&gt;"",ISNUMBER(E86),ISNUMBER(F86),F86&gt;0,ISNUMBER(G86)),E86/F86*G86,""),"")</f>
        <v>350.1148504273504</v>
      </c>
      <c r="I86" s="63"/>
      <c r="J86" s="63"/>
    </row>
    <row r="87" spans="2:11" ht="16.5" customHeight="1">
      <c r="B87" s="71">
        <v>14</v>
      </c>
      <c r="C87" s="68"/>
      <c r="D87" s="72" t="s">
        <v>295</v>
      </c>
      <c r="E87" s="69"/>
      <c r="F87" s="70"/>
      <c r="G87" s="73" t="str">
        <f>IFERROR(VLOOKUP(C87,'🧪 프렙 원가표'!$C$8:$D$18,2,0),IFERROR(VLOOKUP(C87,'🥬 식재료 DB'!$C$7:$H$121,6,0),""))</f>
        <v/>
      </c>
      <c r="H87" s="74" t="str">
        <f>IFERROR(IF(AND(C87&lt;&gt;"",ISNUMBER(E87),ISNUMBER(F87),F87&gt;0,ISNUMBER(G87)),E87/F87*G87,""),"")</f>
        <v/>
      </c>
      <c r="I87" s="77"/>
      <c r="J87" s="77"/>
    </row>
    <row r="88" spans="2:11" ht="16.5" customHeight="1">
      <c r="B88" s="71">
        <v>15</v>
      </c>
      <c r="C88" s="68"/>
      <c r="D88" s="72" t="s">
        <v>295</v>
      </c>
      <c r="E88" s="69"/>
      <c r="F88" s="70"/>
      <c r="G88" s="73" t="str">
        <f>IFERROR(VLOOKUP(C88,'🧪 프렙 원가표'!$C$8:$D$18,2,0),IFERROR(VLOOKUP(C88,'🥬 식재료 DB'!$C$7:$H$121,6,0),""))</f>
        <v/>
      </c>
      <c r="H88" s="74" t="str">
        <f>IFERROR(IF(AND(C88&lt;&gt;"",ISNUMBER(E88),ISNUMBER(F88),F88&gt;0,ISNUMBER(G88)),E88/F88*G88,""),"")</f>
        <v/>
      </c>
      <c r="I88" s="63"/>
      <c r="J88" s="63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77"/>
      <c r="J89" s="77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63"/>
      <c r="J90" s="63"/>
    </row>
    <row r="91" spans="2:11" ht="3.75" customHeight="1">
      <c r="B91" s="78"/>
      <c r="C91" s="78"/>
      <c r="D91" s="78"/>
      <c r="E91" s="78"/>
      <c r="F91" s="78"/>
      <c r="G91" s="78"/>
      <c r="H91" s="78"/>
      <c r="I91" s="78"/>
      <c r="J91" s="78"/>
      <c r="K91" s="78"/>
    </row>
    <row r="92" spans="2:11" ht="27" customHeight="1">
      <c r="B92" s="50"/>
      <c r="C92" s="51" t="s">
        <v>304</v>
      </c>
      <c r="D92" s="50"/>
      <c r="E92" s="52">
        <v>13000</v>
      </c>
      <c r="F92" s="53">
        <f>IFERROR(SUM(H94,H95,H96,H97,H98,H99,H100,H101,H102,H103,H104,H105,H107,H108,H109,H110,H111),0)</f>
        <v>2570.287126068376</v>
      </c>
      <c r="G92" s="54">
        <f>IFERROR(E92*'💰 고정비용 DB'!$D$22/'💰 고정비용 DB'!$D$25,0)</f>
        <v>8583.8618577410598</v>
      </c>
      <c r="H92" s="55">
        <f>IFERROR(G92-F92,"")</f>
        <v>6013.5747316726838</v>
      </c>
      <c r="I92" s="56">
        <f>IFERROR(H92/E92,"")</f>
        <v>0.46258267166712952</v>
      </c>
      <c r="J92" s="57" t="str">
        <f>IF(I92="","⬜ 미입력",IF(I92&lt;=0.2,"✅ 양호",IF(I92&lt;=0.32,"🟡 주의","🔴 과다")))</f>
        <v>🔴 과다</v>
      </c>
      <c r="K92" s="50"/>
    </row>
    <row r="93" spans="2:11" ht="12.75" customHeight="1">
      <c r="B93" s="204" t="s">
        <v>291</v>
      </c>
      <c r="C93" s="204"/>
      <c r="D93" s="204"/>
      <c r="E93" s="204"/>
      <c r="F93" s="204"/>
      <c r="G93" s="204"/>
      <c r="H93" s="204"/>
      <c r="I93" s="204"/>
      <c r="J93" s="204"/>
      <c r="K93" s="204"/>
    </row>
    <row r="94" spans="2:11" ht="16.5" customHeight="1">
      <c r="B94" s="58">
        <v>1</v>
      </c>
      <c r="C94" s="6" t="s">
        <v>198</v>
      </c>
      <c r="D94" s="59" t="s">
        <v>292</v>
      </c>
      <c r="E94" s="60">
        <v>50</v>
      </c>
      <c r="F94" s="61">
        <v>1</v>
      </c>
      <c r="G94" s="25">
        <f>IFERROR(VLOOKUP(C94,'🥬 식재료 DB'!$C$7:$H$121,6,0),"")</f>
        <v>4.4000000000000004</v>
      </c>
      <c r="H94" s="62">
        <f t="shared" ref="H94:H105" si="4">IFERROR(IF(AND(C94&lt;&gt;"",ISNUMBER(E94),ISNUMBER(F94),F94&gt;0,ISNUMBER(G94)),E94/F94*G94,""),"")</f>
        <v>220.00000000000003</v>
      </c>
      <c r="I94" s="63"/>
      <c r="J94" s="63"/>
    </row>
    <row r="95" spans="2:11" ht="16.5" customHeight="1">
      <c r="B95" s="58">
        <v>2</v>
      </c>
      <c r="C95" s="64" t="s">
        <v>227</v>
      </c>
      <c r="D95" s="59" t="s">
        <v>292</v>
      </c>
      <c r="E95" s="65">
        <v>15</v>
      </c>
      <c r="F95" s="66">
        <v>1</v>
      </c>
      <c r="G95" s="25">
        <f>IFERROR(VLOOKUP(C95,'🥬 식재료 DB'!$C$7:$H$121,6,0),"")</f>
        <v>6</v>
      </c>
      <c r="H95" s="62">
        <f t="shared" si="4"/>
        <v>90</v>
      </c>
      <c r="I95" s="67"/>
      <c r="J95" s="67"/>
    </row>
    <row r="96" spans="2:11" ht="16.5" customHeight="1">
      <c r="B96" s="58">
        <v>3</v>
      </c>
      <c r="C96" s="6" t="s">
        <v>236</v>
      </c>
      <c r="D96" s="59" t="s">
        <v>292</v>
      </c>
      <c r="E96" s="60">
        <v>15</v>
      </c>
      <c r="F96" s="61">
        <v>1</v>
      </c>
      <c r="G96" s="25">
        <f>IFERROR(VLOOKUP(C96,'🥬 식재료 DB'!$C$7:$H$121,6,0),"")</f>
        <v>14</v>
      </c>
      <c r="H96" s="62">
        <f t="shared" si="4"/>
        <v>210</v>
      </c>
      <c r="I96" s="63"/>
      <c r="J96" s="63"/>
    </row>
    <row r="97" spans="2:11" ht="16.5" customHeight="1">
      <c r="B97" s="58">
        <v>4</v>
      </c>
      <c r="C97" s="64" t="s">
        <v>168</v>
      </c>
      <c r="D97" s="59" t="s">
        <v>292</v>
      </c>
      <c r="E97" s="65">
        <v>5</v>
      </c>
      <c r="F97" s="66">
        <v>1</v>
      </c>
      <c r="G97" s="25">
        <f>IFERROR(VLOOKUP(C97,'🥬 식재료 DB'!$C$7:$H$121,6,0),"")</f>
        <v>1</v>
      </c>
      <c r="H97" s="62">
        <f t="shared" si="4"/>
        <v>5</v>
      </c>
      <c r="I97" s="67"/>
      <c r="J97" s="67"/>
    </row>
    <row r="98" spans="2:11" ht="16.5" customHeight="1">
      <c r="B98" s="58">
        <v>5</v>
      </c>
      <c r="C98" s="6" t="s">
        <v>237</v>
      </c>
      <c r="D98" s="59" t="s">
        <v>292</v>
      </c>
      <c r="E98" s="60">
        <v>30</v>
      </c>
      <c r="F98" s="61">
        <v>1</v>
      </c>
      <c r="G98" s="25">
        <f>IFERROR(VLOOKUP(C98,'🥬 식재료 DB'!$C$7:$H$121,6,0),"")</f>
        <v>23.75</v>
      </c>
      <c r="H98" s="62">
        <f t="shared" si="4"/>
        <v>712.5</v>
      </c>
      <c r="I98" s="63"/>
      <c r="J98" s="63"/>
    </row>
    <row r="99" spans="2:11" ht="16.5" customHeight="1">
      <c r="B99" s="58">
        <v>6</v>
      </c>
      <c r="C99" s="64" t="s">
        <v>215</v>
      </c>
      <c r="D99" s="59" t="s">
        <v>292</v>
      </c>
      <c r="E99" s="65">
        <v>30</v>
      </c>
      <c r="F99" s="66">
        <v>1</v>
      </c>
      <c r="G99" s="25">
        <f>IFERROR(VLOOKUP(C99,'🥬 식재료 DB'!$C$7:$H$121,6,0),"")</f>
        <v>4.25</v>
      </c>
      <c r="H99" s="62">
        <f t="shared" si="4"/>
        <v>127.5</v>
      </c>
      <c r="I99" s="67"/>
      <c r="J99" s="67"/>
    </row>
    <row r="100" spans="2:11" ht="16.5" customHeight="1">
      <c r="B100" s="58">
        <v>7</v>
      </c>
      <c r="C100" s="68"/>
      <c r="D100" s="59" t="s">
        <v>292</v>
      </c>
      <c r="E100" s="69"/>
      <c r="F100" s="70"/>
      <c r="G100" s="25" t="str">
        <f>IFERROR(VLOOKUP(C100,'🥬 식재료 DB'!$C$7:$H$121,6,0),"")</f>
        <v/>
      </c>
      <c r="H100" s="62" t="str">
        <f t="shared" si="4"/>
        <v/>
      </c>
      <c r="I100" s="63"/>
      <c r="J100" s="63"/>
    </row>
    <row r="101" spans="2:11" ht="16.5" customHeight="1">
      <c r="B101" s="58">
        <v>8</v>
      </c>
      <c r="C101" s="68"/>
      <c r="D101" s="59" t="s">
        <v>292</v>
      </c>
      <c r="E101" s="69"/>
      <c r="F101" s="70"/>
      <c r="G101" s="25" t="str">
        <f>IFERROR(VLOOKUP(C101,'🥬 식재료 DB'!$C$7:$H$121,6,0),"")</f>
        <v/>
      </c>
      <c r="H101" s="62" t="str">
        <f t="shared" si="4"/>
        <v/>
      </c>
      <c r="I101" s="67"/>
      <c r="J101" s="67"/>
    </row>
    <row r="102" spans="2:11" ht="16.5" customHeight="1">
      <c r="B102" s="58">
        <v>9</v>
      </c>
      <c r="C102" s="68"/>
      <c r="D102" s="59" t="s">
        <v>292</v>
      </c>
      <c r="E102" s="69"/>
      <c r="F102" s="70"/>
      <c r="G102" s="25" t="str">
        <f>IFERROR(VLOOKUP(C102,'🥬 식재료 DB'!$C$7:$H$121,6,0),"")</f>
        <v/>
      </c>
      <c r="H102" s="62" t="str">
        <f t="shared" si="4"/>
        <v/>
      </c>
      <c r="I102" s="63"/>
      <c r="J102" s="63"/>
    </row>
    <row r="103" spans="2:11" ht="16.5" customHeight="1">
      <c r="B103" s="58">
        <v>10</v>
      </c>
      <c r="C103" s="68"/>
      <c r="D103" s="59" t="s">
        <v>292</v>
      </c>
      <c r="E103" s="69"/>
      <c r="F103" s="70"/>
      <c r="G103" s="25" t="str">
        <f>IFERROR(VLOOKUP(C103,'🥬 식재료 DB'!$C$7:$H$121,6,0),"")</f>
        <v/>
      </c>
      <c r="H103" s="62" t="str">
        <f t="shared" si="4"/>
        <v/>
      </c>
      <c r="I103" s="67"/>
      <c r="J103" s="67"/>
    </row>
    <row r="104" spans="2:11" ht="16.5" customHeight="1">
      <c r="B104" s="58">
        <v>11</v>
      </c>
      <c r="C104" s="68"/>
      <c r="D104" s="59" t="s">
        <v>292</v>
      </c>
      <c r="E104" s="69"/>
      <c r="F104" s="70"/>
      <c r="G104" s="25" t="str">
        <f>IFERROR(VLOOKUP(C104,'🥬 식재료 DB'!$C$7:$H$121,6,0),"")</f>
        <v/>
      </c>
      <c r="H104" s="62" t="str">
        <f t="shared" si="4"/>
        <v/>
      </c>
      <c r="I104" s="63"/>
      <c r="J104" s="63"/>
    </row>
    <row r="105" spans="2:11" ht="16.5" customHeight="1">
      <c r="B105" s="58">
        <v>12</v>
      </c>
      <c r="C105" s="68"/>
      <c r="D105" s="59" t="s">
        <v>292</v>
      </c>
      <c r="E105" s="69"/>
      <c r="F105" s="70"/>
      <c r="G105" s="25" t="str">
        <f>IFERROR(VLOOKUP(C105,'🥬 식재료 DB'!$C$7:$H$121,6,0),"")</f>
        <v/>
      </c>
      <c r="H105" s="62" t="str">
        <f t="shared" si="4"/>
        <v/>
      </c>
      <c r="I105" s="67"/>
      <c r="J105" s="67"/>
    </row>
    <row r="106" spans="2:11" ht="12.75" customHeight="1">
      <c r="B106" s="203" t="s">
        <v>293</v>
      </c>
      <c r="C106" s="203"/>
      <c r="D106" s="203"/>
      <c r="E106" s="203"/>
      <c r="F106" s="203"/>
      <c r="G106" s="203"/>
      <c r="H106" s="203"/>
      <c r="I106" s="203"/>
      <c r="J106" s="203"/>
      <c r="K106" s="203"/>
    </row>
    <row r="107" spans="2:11" ht="16.5" customHeight="1">
      <c r="B107" s="71">
        <v>13</v>
      </c>
      <c r="C107" s="6" t="s">
        <v>294</v>
      </c>
      <c r="D107" s="72" t="s">
        <v>295</v>
      </c>
      <c r="E107" s="60">
        <v>300</v>
      </c>
      <c r="F107" s="61">
        <v>1</v>
      </c>
      <c r="G107" s="73">
        <f>IFERROR(VLOOKUP(C107,'🧪 프렙 원가표'!$C$8:$D$18,2,0),IFERROR(VLOOKUP(C107,'🥬 식재료 DB'!$C$7:$H$121,6,0),""))</f>
        <v>2.9176237535612533</v>
      </c>
      <c r="H107" s="74">
        <f>IFERROR(IF(AND(C107&lt;&gt;"",ISNUMBER(E107),ISNUMBER(F107),F107&gt;0,ISNUMBER(G107)),E107/F107*G107,""),"")</f>
        <v>875.28712606837598</v>
      </c>
      <c r="I107" s="63"/>
      <c r="J107" s="63"/>
    </row>
    <row r="108" spans="2:11" ht="16.5" customHeight="1">
      <c r="B108" s="71">
        <v>14</v>
      </c>
      <c r="C108" s="12" t="s">
        <v>296</v>
      </c>
      <c r="D108" s="72" t="s">
        <v>295</v>
      </c>
      <c r="E108" s="75">
        <v>30</v>
      </c>
      <c r="F108" s="76">
        <v>1</v>
      </c>
      <c r="G108" s="73">
        <f>IFERROR(VLOOKUP(C108,'🧪 프렙 원가표'!$C$8:$D$18,2,0),IFERROR(VLOOKUP(C108,'🥬 식재료 DB'!$C$7:$H$121,6,0),""))</f>
        <v>11</v>
      </c>
      <c r="H108" s="74">
        <f>IFERROR(IF(AND(C108&lt;&gt;"",ISNUMBER(E108),ISNUMBER(F108),F108&gt;0,ISNUMBER(G108)),E108/F108*G108,""),"")</f>
        <v>330</v>
      </c>
      <c r="I108" s="77"/>
      <c r="J108" s="77"/>
    </row>
    <row r="109" spans="2:11" ht="16.5" customHeight="1">
      <c r="B109" s="71">
        <v>15</v>
      </c>
      <c r="C109" s="68"/>
      <c r="D109" s="72" t="s">
        <v>295</v>
      </c>
      <c r="E109" s="69"/>
      <c r="F109" s="70"/>
      <c r="G109" s="73" t="str">
        <f>IFERROR(VLOOKUP(C109,'🧪 프렙 원가표'!$C$8:$D$18,2,0),IFERROR(VLOOKUP(C109,'🥬 식재료 DB'!$C$7:$H$121,6,0),""))</f>
        <v/>
      </c>
      <c r="H109" s="74" t="str">
        <f>IFERROR(IF(AND(C109&lt;&gt;"",ISNUMBER(E109),ISNUMBER(F109),F109&gt;0,ISNUMBER(G109)),E109/F109*G109,""),"")</f>
        <v/>
      </c>
      <c r="I109" s="63"/>
      <c r="J109" s="63"/>
    </row>
    <row r="110" spans="2:11" ht="16.5" customHeight="1">
      <c r="B110" s="71">
        <v>16</v>
      </c>
      <c r="C110" s="68"/>
      <c r="D110" s="72" t="s">
        <v>295</v>
      </c>
      <c r="E110" s="69"/>
      <c r="F110" s="70"/>
      <c r="G110" s="73" t="str">
        <f>IFERROR(VLOOKUP(C110,'🧪 프렙 원가표'!$C$8:$D$18,2,0),IFERROR(VLOOKUP(C110,'🥬 식재료 DB'!$C$7:$H$121,6,0),""))</f>
        <v/>
      </c>
      <c r="H110" s="74" t="str">
        <f>IFERROR(IF(AND(C110&lt;&gt;"",ISNUMBER(E110),ISNUMBER(F110),F110&gt;0,ISNUMBER(G110)),E110/F110*G110,""),"")</f>
        <v/>
      </c>
      <c r="I110" s="77"/>
      <c r="J110" s="77"/>
    </row>
    <row r="111" spans="2:11" ht="16.5" customHeight="1">
      <c r="B111" s="71">
        <v>17</v>
      </c>
      <c r="C111" s="68"/>
      <c r="D111" s="72" t="s">
        <v>295</v>
      </c>
      <c r="E111" s="69"/>
      <c r="F111" s="70"/>
      <c r="G111" s="73" t="str">
        <f>IFERROR(VLOOKUP(C111,'🧪 프렙 원가표'!$C$8:$D$18,2,0),IFERROR(VLOOKUP(C111,'🥬 식재료 DB'!$C$7:$H$121,6,0),""))</f>
        <v/>
      </c>
      <c r="H111" s="74" t="str">
        <f>IFERROR(IF(AND(C111&lt;&gt;"",ISNUMBER(E111),ISNUMBER(F111),F111&gt;0,ISNUMBER(G111)),E111/F111*G111,""),"")</f>
        <v/>
      </c>
      <c r="I111" s="63"/>
      <c r="J111" s="63"/>
    </row>
    <row r="112" spans="2:11" ht="3.75" customHeight="1">
      <c r="B112" s="78"/>
      <c r="C112" s="78"/>
      <c r="D112" s="78"/>
      <c r="E112" s="78"/>
      <c r="F112" s="78"/>
      <c r="G112" s="78"/>
      <c r="H112" s="78"/>
      <c r="I112" s="78"/>
      <c r="J112" s="78"/>
      <c r="K112" s="78"/>
    </row>
    <row r="113" spans="2:11" ht="27" customHeight="1">
      <c r="B113" s="50"/>
      <c r="C113" s="51" t="s">
        <v>305</v>
      </c>
      <c r="D113" s="50"/>
      <c r="E113" s="52">
        <v>14000</v>
      </c>
      <c r="F113" s="53">
        <f>IFERROR(SUM(H115,H116,H117,H118,H119,H120,H121,H122,H123,H124,H125,H126,H128,H129,H130,H131,H132),0)</f>
        <v>648.03404745838952</v>
      </c>
      <c r="G113" s="54">
        <f>IFERROR(E113*'💰 고정비용 DB'!$D$22/'💰 고정비용 DB'!$D$25,0)</f>
        <v>9244.158923721141</v>
      </c>
      <c r="H113" s="55">
        <f>IFERROR(G113-F113,"")</f>
        <v>8596.1248762627511</v>
      </c>
      <c r="I113" s="56">
        <f>IFERROR(H113/E113,"")</f>
        <v>0.6140089197330536</v>
      </c>
      <c r="J113" s="57" t="str">
        <f>IF(I113="","⬜ 미입력",IF(I113&lt;=0.2,"✅ 양호",IF(I113&lt;=0.32,"🟡 주의","🔴 과다")))</f>
        <v>🔴 과다</v>
      </c>
      <c r="K113" s="50"/>
    </row>
    <row r="114" spans="2:11" ht="12.75" customHeight="1">
      <c r="B114" s="204" t="s">
        <v>291</v>
      </c>
      <c r="C114" s="204"/>
      <c r="D114" s="204"/>
      <c r="E114" s="204"/>
      <c r="F114" s="204"/>
      <c r="G114" s="204"/>
      <c r="H114" s="204"/>
      <c r="I114" s="204"/>
      <c r="J114" s="204"/>
      <c r="K114" s="204"/>
    </row>
    <row r="115" spans="2:11" ht="16.5" customHeight="1">
      <c r="B115" s="58">
        <v>1</v>
      </c>
      <c r="C115" s="6" t="s">
        <v>300</v>
      </c>
      <c r="D115" s="59" t="s">
        <v>292</v>
      </c>
      <c r="E115" s="60">
        <v>60</v>
      </c>
      <c r="F115" s="61">
        <v>1</v>
      </c>
      <c r="G115" s="25" t="str">
        <f>IFERROR(VLOOKUP(C115,'🥬 식재료 DB'!$C$7:$H$121,6,0),"")</f>
        <v/>
      </c>
      <c r="H115" s="62" t="str">
        <f t="shared" ref="H115:H126" si="5">IFERROR(IF(AND(C115&lt;&gt;"",ISNUMBER(E115),ISNUMBER(F115),F115&gt;0,ISNUMBER(G115)),E115/F115*G115,""),"")</f>
        <v/>
      </c>
      <c r="I115" s="63"/>
      <c r="J115" s="63"/>
    </row>
    <row r="116" spans="2:11" ht="16.5" customHeight="1">
      <c r="B116" s="58">
        <v>2</v>
      </c>
      <c r="C116" s="64" t="s">
        <v>206</v>
      </c>
      <c r="D116" s="59" t="s">
        <v>292</v>
      </c>
      <c r="E116" s="65">
        <v>5</v>
      </c>
      <c r="F116" s="66">
        <v>1</v>
      </c>
      <c r="G116" s="25">
        <f>IFERROR(VLOOKUP(C116,'🥬 식재료 DB'!$C$7:$H$121,6,0),"")</f>
        <v>12.894736842105264</v>
      </c>
      <c r="H116" s="62">
        <f t="shared" si="5"/>
        <v>64.473684210526315</v>
      </c>
      <c r="I116" s="67"/>
      <c r="J116" s="67"/>
    </row>
    <row r="117" spans="2:11" ht="16.5" customHeight="1">
      <c r="B117" s="58">
        <v>3</v>
      </c>
      <c r="C117" s="6" t="s">
        <v>222</v>
      </c>
      <c r="D117" s="59" t="s">
        <v>292</v>
      </c>
      <c r="E117" s="60">
        <v>5</v>
      </c>
      <c r="F117" s="61">
        <v>1</v>
      </c>
      <c r="G117" s="25">
        <f>IFERROR(VLOOKUP(C117,'🥬 식재료 DB'!$C$7:$H$121,6,0),"")</f>
        <v>3.2307692307692308</v>
      </c>
      <c r="H117" s="62">
        <f t="shared" si="5"/>
        <v>16.153846153846153</v>
      </c>
      <c r="I117" s="63"/>
      <c r="J117" s="63"/>
    </row>
    <row r="118" spans="2:11" ht="16.5" customHeight="1">
      <c r="B118" s="58">
        <v>4</v>
      </c>
      <c r="C118" s="64" t="s">
        <v>169</v>
      </c>
      <c r="D118" s="59" t="s">
        <v>292</v>
      </c>
      <c r="E118" s="65">
        <v>20</v>
      </c>
      <c r="F118" s="66">
        <v>1</v>
      </c>
      <c r="G118" s="25">
        <f>IFERROR(VLOOKUP(C118,'🥬 식재료 DB'!$C$7:$H$121,6,0),"")</f>
        <v>1.3333333333333333</v>
      </c>
      <c r="H118" s="62">
        <f t="shared" si="5"/>
        <v>26.666666666666664</v>
      </c>
      <c r="I118" s="67"/>
      <c r="J118" s="67"/>
    </row>
    <row r="119" spans="2:11" ht="16.5" customHeight="1">
      <c r="B119" s="58">
        <v>5</v>
      </c>
      <c r="C119" s="6" t="s">
        <v>168</v>
      </c>
      <c r="D119" s="59" t="s">
        <v>292</v>
      </c>
      <c r="E119" s="60">
        <v>15</v>
      </c>
      <c r="F119" s="61">
        <v>1</v>
      </c>
      <c r="G119" s="25">
        <f>IFERROR(VLOOKUP(C119,'🥬 식재료 DB'!$C$7:$H$121,6,0),"")</f>
        <v>1</v>
      </c>
      <c r="H119" s="62">
        <f t="shared" si="5"/>
        <v>15</v>
      </c>
      <c r="I119" s="63"/>
      <c r="J119" s="63"/>
    </row>
    <row r="120" spans="2:11" ht="16.5" customHeight="1">
      <c r="B120" s="58">
        <v>6</v>
      </c>
      <c r="C120" s="64" t="s">
        <v>215</v>
      </c>
      <c r="D120" s="59" t="s">
        <v>292</v>
      </c>
      <c r="E120" s="65">
        <v>20</v>
      </c>
      <c r="F120" s="66">
        <v>1</v>
      </c>
      <c r="G120" s="25">
        <f>IFERROR(VLOOKUP(C120,'🥬 식재료 DB'!$C$7:$H$121,6,0),"")</f>
        <v>4.25</v>
      </c>
      <c r="H120" s="62">
        <f t="shared" si="5"/>
        <v>85</v>
      </c>
      <c r="I120" s="67"/>
      <c r="J120" s="67"/>
    </row>
    <row r="121" spans="2:11" ht="16.5" customHeight="1">
      <c r="B121" s="58">
        <v>7</v>
      </c>
      <c r="C121" s="17" t="s">
        <v>182</v>
      </c>
      <c r="D121" s="59" t="s">
        <v>292</v>
      </c>
      <c r="E121" s="60">
        <v>5</v>
      </c>
      <c r="F121" s="61">
        <v>1</v>
      </c>
      <c r="G121" s="25">
        <f>IFERROR(VLOOKUP(C121,'🥬 식재료 DB'!$C$7:$H$121,6,0),"")</f>
        <v>18.125</v>
      </c>
      <c r="H121" s="62">
        <f t="shared" si="5"/>
        <v>90.625</v>
      </c>
      <c r="I121" s="63"/>
      <c r="J121" s="63"/>
    </row>
    <row r="122" spans="2:11" ht="16.5" customHeight="1">
      <c r="B122" s="58">
        <v>8</v>
      </c>
      <c r="C122" s="68"/>
      <c r="D122" s="59" t="s">
        <v>292</v>
      </c>
      <c r="E122" s="69"/>
      <c r="F122" s="70"/>
      <c r="G122" s="25" t="str">
        <f>IFERROR(VLOOKUP(C122,'🥬 식재료 DB'!$C$7:$H$121,6,0),"")</f>
        <v/>
      </c>
      <c r="H122" s="62" t="str">
        <f t="shared" si="5"/>
        <v/>
      </c>
      <c r="I122" s="67"/>
      <c r="J122" s="67"/>
    </row>
    <row r="123" spans="2:11" ht="16.5" customHeight="1">
      <c r="B123" s="58">
        <v>9</v>
      </c>
      <c r="C123" s="68"/>
      <c r="D123" s="59" t="s">
        <v>292</v>
      </c>
      <c r="E123" s="69"/>
      <c r="F123" s="70"/>
      <c r="G123" s="25" t="str">
        <f>IFERROR(VLOOKUP(C123,'🥬 식재료 DB'!$C$7:$H$121,6,0),"")</f>
        <v/>
      </c>
      <c r="H123" s="62" t="str">
        <f t="shared" si="5"/>
        <v/>
      </c>
      <c r="I123" s="63"/>
      <c r="J123" s="63"/>
    </row>
    <row r="124" spans="2:11" ht="16.5" customHeight="1">
      <c r="B124" s="58">
        <v>10</v>
      </c>
      <c r="C124" s="68"/>
      <c r="D124" s="59" t="s">
        <v>292</v>
      </c>
      <c r="E124" s="69"/>
      <c r="F124" s="70"/>
      <c r="G124" s="25" t="str">
        <f>IFERROR(VLOOKUP(C124,'🥬 식재료 DB'!$C$7:$H$121,6,0),"")</f>
        <v/>
      </c>
      <c r="H124" s="62" t="str">
        <f t="shared" si="5"/>
        <v/>
      </c>
      <c r="I124" s="67"/>
      <c r="J124" s="67"/>
    </row>
    <row r="125" spans="2:11" ht="16.5" customHeight="1">
      <c r="B125" s="58">
        <v>11</v>
      </c>
      <c r="C125" s="68"/>
      <c r="D125" s="59" t="s">
        <v>292</v>
      </c>
      <c r="E125" s="69"/>
      <c r="F125" s="70"/>
      <c r="G125" s="25" t="str">
        <f>IFERROR(VLOOKUP(C125,'🥬 식재료 DB'!$C$7:$H$121,6,0),"")</f>
        <v/>
      </c>
      <c r="H125" s="62" t="str">
        <f t="shared" si="5"/>
        <v/>
      </c>
      <c r="I125" s="63"/>
      <c r="J125" s="63"/>
    </row>
    <row r="126" spans="2:11" ht="16.5" customHeight="1">
      <c r="B126" s="58">
        <v>12</v>
      </c>
      <c r="C126" s="68"/>
      <c r="D126" s="59" t="s">
        <v>292</v>
      </c>
      <c r="E126" s="69"/>
      <c r="F126" s="70"/>
      <c r="G126" s="25" t="str">
        <f>IFERROR(VLOOKUP(C126,'🥬 식재료 DB'!$C$7:$H$121,6,0),"")</f>
        <v/>
      </c>
      <c r="H126" s="62" t="str">
        <f t="shared" si="5"/>
        <v/>
      </c>
      <c r="I126" s="67"/>
      <c r="J126" s="67"/>
    </row>
    <row r="127" spans="2:11" ht="12.75" customHeight="1">
      <c r="B127" s="203" t="s">
        <v>293</v>
      </c>
      <c r="C127" s="203"/>
      <c r="D127" s="203"/>
      <c r="E127" s="203"/>
      <c r="F127" s="203"/>
      <c r="G127" s="203"/>
      <c r="H127" s="203"/>
      <c r="I127" s="203"/>
      <c r="J127" s="203"/>
      <c r="K127" s="203"/>
    </row>
    <row r="128" spans="2:11" ht="16.5" customHeight="1">
      <c r="B128" s="71">
        <v>13</v>
      </c>
      <c r="C128" s="6" t="s">
        <v>294</v>
      </c>
      <c r="D128" s="72" t="s">
        <v>295</v>
      </c>
      <c r="E128" s="60">
        <v>120</v>
      </c>
      <c r="F128" s="61">
        <v>1</v>
      </c>
      <c r="G128" s="73">
        <f>IFERROR(VLOOKUP(C128,'🧪 프렙 원가표'!$C$8:$D$18,2,0),IFERROR(VLOOKUP(C128,'🥬 식재료 DB'!$C$7:$H$121,6,0),""))</f>
        <v>2.9176237535612533</v>
      </c>
      <c r="H128" s="74">
        <f>IFERROR(IF(AND(C128&lt;&gt;"",ISNUMBER(E128),ISNUMBER(F128),F128&gt;0,ISNUMBER(G128)),E128/F128*G128,""),"")</f>
        <v>350.1148504273504</v>
      </c>
      <c r="I128" s="63"/>
      <c r="J128" s="63"/>
    </row>
    <row r="129" spans="2:11" ht="16.5" customHeight="1">
      <c r="B129" s="71">
        <v>14</v>
      </c>
      <c r="C129" s="68"/>
      <c r="D129" s="72" t="s">
        <v>295</v>
      </c>
      <c r="E129" s="69"/>
      <c r="F129" s="70"/>
      <c r="G129" s="73" t="str">
        <f>IFERROR(VLOOKUP(C129,'🧪 프렙 원가표'!$C$8:$D$18,2,0),IFERROR(VLOOKUP(C129,'🥬 식재료 DB'!$C$7:$H$121,6,0),""))</f>
        <v/>
      </c>
      <c r="H129" s="74" t="str">
        <f>IFERROR(IF(AND(C129&lt;&gt;"",ISNUMBER(E129),ISNUMBER(F129),F129&gt;0,ISNUMBER(G129)),E129/F129*G129,""),"")</f>
        <v/>
      </c>
      <c r="I129" s="77"/>
      <c r="J129" s="77"/>
    </row>
    <row r="130" spans="2:11" ht="16.5" customHeight="1">
      <c r="B130" s="71">
        <v>15</v>
      </c>
      <c r="C130" s="68"/>
      <c r="D130" s="72" t="s">
        <v>295</v>
      </c>
      <c r="E130" s="69"/>
      <c r="F130" s="70"/>
      <c r="G130" s="73" t="str">
        <f>IFERROR(VLOOKUP(C130,'🧪 프렙 원가표'!$C$8:$D$18,2,0),IFERROR(VLOOKUP(C130,'🥬 식재료 DB'!$C$7:$H$121,6,0),""))</f>
        <v/>
      </c>
      <c r="H130" s="74" t="str">
        <f>IFERROR(IF(AND(C130&lt;&gt;"",ISNUMBER(E130),ISNUMBER(F130),F130&gt;0,ISNUMBER(G130)),E130/F130*G130,""),"")</f>
        <v/>
      </c>
      <c r="I130" s="63"/>
      <c r="J130" s="63"/>
    </row>
    <row r="131" spans="2:11" ht="16.5" customHeight="1">
      <c r="B131" s="71">
        <v>16</v>
      </c>
      <c r="C131" s="68"/>
      <c r="D131" s="72" t="s">
        <v>295</v>
      </c>
      <c r="E131" s="69"/>
      <c r="F131" s="70"/>
      <c r="G131" s="73" t="str">
        <f>IFERROR(VLOOKUP(C131,'🧪 프렙 원가표'!$C$8:$D$18,2,0),IFERROR(VLOOKUP(C131,'🥬 식재료 DB'!$C$7:$H$121,6,0),""))</f>
        <v/>
      </c>
      <c r="H131" s="74" t="str">
        <f>IFERROR(IF(AND(C131&lt;&gt;"",ISNUMBER(E131),ISNUMBER(F131),F131&gt;0,ISNUMBER(G131)),E131/F131*G131,""),"")</f>
        <v/>
      </c>
      <c r="I131" s="77"/>
      <c r="J131" s="77"/>
    </row>
    <row r="132" spans="2:11" ht="16.5" customHeight="1">
      <c r="B132" s="71">
        <v>17</v>
      </c>
      <c r="C132" s="68"/>
      <c r="D132" s="72" t="s">
        <v>295</v>
      </c>
      <c r="E132" s="69"/>
      <c r="F132" s="70"/>
      <c r="G132" s="73" t="str">
        <f>IFERROR(VLOOKUP(C132,'🧪 프렙 원가표'!$C$8:$D$18,2,0),IFERROR(VLOOKUP(C132,'🥬 식재료 DB'!$C$7:$H$121,6,0),""))</f>
        <v/>
      </c>
      <c r="H132" s="74" t="str">
        <f>IFERROR(IF(AND(C132&lt;&gt;"",ISNUMBER(E132),ISNUMBER(F132),F132&gt;0,ISNUMBER(G132)),E132/F132*G132,""),"")</f>
        <v/>
      </c>
      <c r="I132" s="63"/>
      <c r="J132" s="63"/>
    </row>
    <row r="133" spans="2:11" ht="3.75" customHeight="1">
      <c r="B133" s="78"/>
      <c r="C133" s="78"/>
      <c r="D133" s="78"/>
      <c r="E133" s="78"/>
      <c r="F133" s="78"/>
      <c r="G133" s="78"/>
      <c r="H133" s="78"/>
      <c r="I133" s="78"/>
      <c r="J133" s="78"/>
      <c r="K133" s="78"/>
    </row>
    <row r="134" spans="2:11" ht="27" customHeight="1">
      <c r="B134" s="50"/>
      <c r="C134" s="51" t="s">
        <v>306</v>
      </c>
      <c r="D134" s="50"/>
      <c r="E134" s="52">
        <v>13000</v>
      </c>
      <c r="F134" s="53">
        <f>IFERROR(SUM(H136,H137,H138,H139,H140,H141,H142,H143,H144,H145,H146,H147,H149,H150,H151,H152,H153),0)</f>
        <v>655.13085968039536</v>
      </c>
      <c r="G134" s="54">
        <f>IFERROR(E134*'💰 고정비용 DB'!$D$22/'💰 고정비용 DB'!$D$25,0)</f>
        <v>8583.8618577410598</v>
      </c>
      <c r="H134" s="55">
        <f>IFERROR(G134-F134,"")</f>
        <v>7928.7309980606642</v>
      </c>
      <c r="I134" s="56">
        <f>IFERROR(H134/E134,"")</f>
        <v>0.60990238446620493</v>
      </c>
      <c r="J134" s="57" t="str">
        <f>IF(I134="","⬜ 미입력",IF(I134&lt;=0.2,"✅ 양호",IF(I134&lt;=0.32,"🟡 주의","🔴 과다")))</f>
        <v>🔴 과다</v>
      </c>
      <c r="K134" s="50"/>
    </row>
    <row r="135" spans="2:11" ht="12.75" customHeight="1">
      <c r="B135" s="204" t="s">
        <v>291</v>
      </c>
      <c r="C135" s="204"/>
      <c r="D135" s="204"/>
      <c r="E135" s="204"/>
      <c r="F135" s="204"/>
      <c r="G135" s="204"/>
      <c r="H135" s="204"/>
      <c r="I135" s="204"/>
      <c r="J135" s="204"/>
      <c r="K135" s="204"/>
    </row>
    <row r="136" spans="2:11" ht="16.5" customHeight="1">
      <c r="B136" s="58">
        <v>1</v>
      </c>
      <c r="C136" s="6" t="s">
        <v>198</v>
      </c>
      <c r="D136" s="59" t="s">
        <v>292</v>
      </c>
      <c r="E136" s="60">
        <v>40</v>
      </c>
      <c r="F136" s="61">
        <v>1</v>
      </c>
      <c r="G136" s="25">
        <f>IFERROR(VLOOKUP(C136,'🥬 식재료 DB'!$C$7:$H$121,6,0),"")</f>
        <v>4.4000000000000004</v>
      </c>
      <c r="H136" s="62">
        <f t="shared" ref="H136:H147" si="6">IFERROR(IF(AND(C136&lt;&gt;"",ISNUMBER(E136),ISNUMBER(F136),F136&gt;0,ISNUMBER(G136)),E136/F136*G136,""),"")</f>
        <v>176</v>
      </c>
      <c r="I136" s="63"/>
      <c r="J136" s="63"/>
    </row>
    <row r="137" spans="2:11" ht="16.5" customHeight="1">
      <c r="B137" s="58">
        <v>2</v>
      </c>
      <c r="C137" s="64" t="s">
        <v>215</v>
      </c>
      <c r="D137" s="59" t="s">
        <v>292</v>
      </c>
      <c r="E137" s="65">
        <v>30</v>
      </c>
      <c r="F137" s="66">
        <v>1</v>
      </c>
      <c r="G137" s="25">
        <f>IFERROR(VLOOKUP(C137,'🥬 식재료 DB'!$C$7:$H$121,6,0),"")</f>
        <v>4.25</v>
      </c>
      <c r="H137" s="62">
        <f t="shared" si="6"/>
        <v>127.5</v>
      </c>
      <c r="I137" s="67"/>
      <c r="J137" s="67"/>
    </row>
    <row r="138" spans="2:11" ht="16.5" customHeight="1">
      <c r="B138" s="58">
        <v>3</v>
      </c>
      <c r="C138" s="68"/>
      <c r="D138" s="59" t="s">
        <v>292</v>
      </c>
      <c r="E138" s="69"/>
      <c r="F138" s="70"/>
      <c r="G138" s="25" t="str">
        <f>IFERROR(VLOOKUP(C138,'🥬 식재료 DB'!$C$7:$H$121,6,0),"")</f>
        <v/>
      </c>
      <c r="H138" s="62" t="str">
        <f t="shared" si="6"/>
        <v/>
      </c>
      <c r="I138" s="63"/>
      <c r="J138" s="63"/>
    </row>
    <row r="139" spans="2:11" ht="16.5" customHeight="1">
      <c r="B139" s="58">
        <v>4</v>
      </c>
      <c r="C139" s="68"/>
      <c r="D139" s="59" t="s">
        <v>292</v>
      </c>
      <c r="E139" s="69"/>
      <c r="F139" s="70"/>
      <c r="G139" s="25" t="str">
        <f>IFERROR(VLOOKUP(C139,'🥬 식재료 DB'!$C$7:$H$121,6,0),"")</f>
        <v/>
      </c>
      <c r="H139" s="62" t="str">
        <f t="shared" si="6"/>
        <v/>
      </c>
      <c r="I139" s="67"/>
      <c r="J139" s="67"/>
    </row>
    <row r="140" spans="2:11" ht="16.5" customHeight="1">
      <c r="B140" s="58">
        <v>5</v>
      </c>
      <c r="C140" s="68"/>
      <c r="D140" s="59" t="s">
        <v>292</v>
      </c>
      <c r="E140" s="69"/>
      <c r="F140" s="70"/>
      <c r="G140" s="25" t="str">
        <f>IFERROR(VLOOKUP(C140,'🥬 식재료 DB'!$C$7:$H$121,6,0),"")</f>
        <v/>
      </c>
      <c r="H140" s="62" t="str">
        <f t="shared" si="6"/>
        <v/>
      </c>
      <c r="I140" s="63"/>
      <c r="J140" s="63"/>
    </row>
    <row r="141" spans="2:11" ht="16.5" customHeight="1">
      <c r="B141" s="58">
        <v>6</v>
      </c>
      <c r="C141" s="68"/>
      <c r="D141" s="59" t="s">
        <v>292</v>
      </c>
      <c r="E141" s="69"/>
      <c r="F141" s="70"/>
      <c r="G141" s="25" t="str">
        <f>IFERROR(VLOOKUP(C141,'🥬 식재료 DB'!$C$7:$H$121,6,0),"")</f>
        <v/>
      </c>
      <c r="H141" s="62" t="str">
        <f t="shared" si="6"/>
        <v/>
      </c>
      <c r="I141" s="67"/>
      <c r="J141" s="67"/>
    </row>
    <row r="142" spans="2:11" ht="16.5" customHeight="1">
      <c r="B142" s="58">
        <v>7</v>
      </c>
      <c r="C142" s="68"/>
      <c r="D142" s="59" t="s">
        <v>292</v>
      </c>
      <c r="E142" s="69"/>
      <c r="F142" s="70"/>
      <c r="G142" s="25" t="str">
        <f>IFERROR(VLOOKUP(C142,'🥬 식재료 DB'!$C$7:$H$121,6,0),"")</f>
        <v/>
      </c>
      <c r="H142" s="62" t="str">
        <f t="shared" si="6"/>
        <v/>
      </c>
      <c r="I142" s="63"/>
      <c r="J142" s="63"/>
    </row>
    <row r="143" spans="2:11" ht="16.5" customHeight="1">
      <c r="B143" s="58">
        <v>8</v>
      </c>
      <c r="C143" s="68"/>
      <c r="D143" s="59" t="s">
        <v>292</v>
      </c>
      <c r="E143" s="69"/>
      <c r="F143" s="70"/>
      <c r="G143" s="25" t="str">
        <f>IFERROR(VLOOKUP(C143,'🥬 식재료 DB'!$C$7:$H$121,6,0),"")</f>
        <v/>
      </c>
      <c r="H143" s="62" t="str">
        <f t="shared" si="6"/>
        <v/>
      </c>
      <c r="I143" s="67"/>
      <c r="J143" s="67"/>
    </row>
    <row r="144" spans="2:11" ht="16.5" customHeight="1">
      <c r="B144" s="58">
        <v>9</v>
      </c>
      <c r="C144" s="68"/>
      <c r="D144" s="59" t="s">
        <v>292</v>
      </c>
      <c r="E144" s="69"/>
      <c r="F144" s="70"/>
      <c r="G144" s="25" t="str">
        <f>IFERROR(VLOOKUP(C144,'🥬 식재료 DB'!$C$7:$H$121,6,0),"")</f>
        <v/>
      </c>
      <c r="H144" s="62" t="str">
        <f t="shared" si="6"/>
        <v/>
      </c>
      <c r="I144" s="63"/>
      <c r="J144" s="63"/>
    </row>
    <row r="145" spans="2:11" ht="16.5" customHeight="1">
      <c r="B145" s="58">
        <v>10</v>
      </c>
      <c r="C145" s="68"/>
      <c r="D145" s="59" t="s">
        <v>292</v>
      </c>
      <c r="E145" s="69"/>
      <c r="F145" s="70"/>
      <c r="G145" s="25" t="str">
        <f>IFERROR(VLOOKUP(C145,'🥬 식재료 DB'!$C$7:$H$121,6,0),"")</f>
        <v/>
      </c>
      <c r="H145" s="62" t="str">
        <f t="shared" si="6"/>
        <v/>
      </c>
      <c r="I145" s="67"/>
      <c r="J145" s="67"/>
    </row>
    <row r="146" spans="2:11" ht="16.5" customHeight="1">
      <c r="B146" s="58">
        <v>11</v>
      </c>
      <c r="C146" s="68"/>
      <c r="D146" s="59" t="s">
        <v>292</v>
      </c>
      <c r="E146" s="69"/>
      <c r="F146" s="70"/>
      <c r="G146" s="25" t="str">
        <f>IFERROR(VLOOKUP(C146,'🥬 식재료 DB'!$C$7:$H$121,6,0),"")</f>
        <v/>
      </c>
      <c r="H146" s="62" t="str">
        <f t="shared" si="6"/>
        <v/>
      </c>
      <c r="I146" s="63"/>
      <c r="J146" s="63"/>
    </row>
    <row r="147" spans="2:11" ht="16.5" customHeight="1">
      <c r="B147" s="58">
        <v>12</v>
      </c>
      <c r="C147" s="68"/>
      <c r="D147" s="59" t="s">
        <v>292</v>
      </c>
      <c r="E147" s="69"/>
      <c r="F147" s="70"/>
      <c r="G147" s="25" t="str">
        <f>IFERROR(VLOOKUP(C147,'🥬 식재료 DB'!$C$7:$H$121,6,0),"")</f>
        <v/>
      </c>
      <c r="H147" s="62" t="str">
        <f t="shared" si="6"/>
        <v/>
      </c>
      <c r="I147" s="67"/>
      <c r="J147" s="67"/>
    </row>
    <row r="148" spans="2:11" ht="12.75" customHeight="1">
      <c r="B148" s="203" t="s">
        <v>293</v>
      </c>
      <c r="C148" s="203"/>
      <c r="D148" s="203"/>
      <c r="E148" s="203"/>
      <c r="F148" s="203"/>
      <c r="G148" s="203"/>
      <c r="H148" s="203"/>
      <c r="I148" s="203"/>
      <c r="J148" s="203"/>
      <c r="K148" s="203"/>
    </row>
    <row r="149" spans="2:11" ht="16.5" customHeight="1">
      <c r="B149" s="71">
        <v>13</v>
      </c>
      <c r="C149" s="6" t="s">
        <v>307</v>
      </c>
      <c r="D149" s="72" t="s">
        <v>295</v>
      </c>
      <c r="E149" s="60">
        <v>200</v>
      </c>
      <c r="F149" s="61">
        <v>1</v>
      </c>
      <c r="G149" s="73">
        <f>IFERROR(VLOOKUP(C149,'🧪 프렙 원가표'!$C$8:$D$18,2,0),IFERROR(VLOOKUP(C149,'🥬 식재료 DB'!$C$7:$H$121,6,0),""))</f>
        <v>1.7581542984019767</v>
      </c>
      <c r="H149" s="74">
        <f>IFERROR(IF(AND(C149&lt;&gt;"",ISNUMBER(E149),ISNUMBER(F149),F149&gt;0,ISNUMBER(G149)),E149/F149*G149,""),"")</f>
        <v>351.63085968039536</v>
      </c>
      <c r="I149" s="63"/>
      <c r="J149" s="63"/>
    </row>
    <row r="150" spans="2:11" ht="16.5" customHeight="1">
      <c r="B150" s="71">
        <v>14</v>
      </c>
      <c r="C150" s="68"/>
      <c r="D150" s="72" t="s">
        <v>295</v>
      </c>
      <c r="E150" s="69"/>
      <c r="F150" s="70"/>
      <c r="G150" s="73" t="str">
        <f>IFERROR(VLOOKUP(C150,'🧪 프렙 원가표'!$C$8:$D$18,2,0),IFERROR(VLOOKUP(C150,'🥬 식재료 DB'!$C$7:$H$121,6,0),""))</f>
        <v/>
      </c>
      <c r="H150" s="74" t="str">
        <f>IFERROR(IF(AND(C150&lt;&gt;"",ISNUMBER(E150),ISNUMBER(F150),F150&gt;0,ISNUMBER(G150)),E150/F150*G150,""),"")</f>
        <v/>
      </c>
      <c r="I150" s="77"/>
      <c r="J150" s="77"/>
    </row>
    <row r="151" spans="2:11" ht="16.5" customHeight="1">
      <c r="B151" s="71">
        <v>15</v>
      </c>
      <c r="C151" s="68"/>
      <c r="D151" s="72" t="s">
        <v>295</v>
      </c>
      <c r="E151" s="69"/>
      <c r="F151" s="70"/>
      <c r="G151" s="73" t="str">
        <f>IFERROR(VLOOKUP(C151,'🧪 프렙 원가표'!$C$8:$D$18,2,0),IFERROR(VLOOKUP(C151,'🥬 식재료 DB'!$C$7:$H$121,6,0),""))</f>
        <v/>
      </c>
      <c r="H151" s="74" t="str">
        <f>IFERROR(IF(AND(C151&lt;&gt;"",ISNUMBER(E151),ISNUMBER(F151),F151&gt;0,ISNUMBER(G151)),E151/F151*G151,""),"")</f>
        <v/>
      </c>
      <c r="I151" s="63"/>
      <c r="J151" s="63"/>
    </row>
    <row r="152" spans="2:11" ht="16.5" customHeight="1">
      <c r="B152" s="71">
        <v>16</v>
      </c>
      <c r="C152" s="68"/>
      <c r="D152" s="72" t="s">
        <v>295</v>
      </c>
      <c r="E152" s="69"/>
      <c r="F152" s="70"/>
      <c r="G152" s="73" t="str">
        <f>IFERROR(VLOOKUP(C152,'🧪 프렙 원가표'!$C$8:$D$18,2,0),IFERROR(VLOOKUP(C152,'🥬 식재료 DB'!$C$7:$H$121,6,0),""))</f>
        <v/>
      </c>
      <c r="H152" s="74" t="str">
        <f>IFERROR(IF(AND(C152&lt;&gt;"",ISNUMBER(E152),ISNUMBER(F152),F152&gt;0,ISNUMBER(G152)),E152/F152*G152,""),"")</f>
        <v/>
      </c>
      <c r="I152" s="77"/>
      <c r="J152" s="77"/>
    </row>
    <row r="153" spans="2:11" ht="16.5" customHeight="1">
      <c r="B153" s="71">
        <v>17</v>
      </c>
      <c r="C153" s="68"/>
      <c r="D153" s="72" t="s">
        <v>295</v>
      </c>
      <c r="E153" s="69"/>
      <c r="F153" s="70"/>
      <c r="G153" s="73" t="str">
        <f>IFERROR(VLOOKUP(C153,'🧪 프렙 원가표'!$C$8:$D$18,2,0),IFERROR(VLOOKUP(C153,'🥬 식재료 DB'!$C$7:$H$121,6,0),""))</f>
        <v/>
      </c>
      <c r="H153" s="74" t="str">
        <f>IFERROR(IF(AND(C153&lt;&gt;"",ISNUMBER(E153),ISNUMBER(F153),F153&gt;0,ISNUMBER(G153)),E153/F153*G153,""),"")</f>
        <v/>
      </c>
      <c r="I153" s="63"/>
      <c r="J153" s="63"/>
    </row>
    <row r="154" spans="2:11" ht="3.75" customHeight="1">
      <c r="B154" s="78"/>
      <c r="C154" s="78"/>
      <c r="D154" s="78"/>
      <c r="E154" s="78"/>
      <c r="F154" s="78"/>
      <c r="G154" s="78"/>
      <c r="H154" s="78"/>
      <c r="I154" s="78"/>
      <c r="J154" s="78"/>
      <c r="K154" s="78"/>
    </row>
    <row r="155" spans="2:11" ht="27" customHeight="1">
      <c r="B155" s="50"/>
      <c r="C155" s="51" t="s">
        <v>308</v>
      </c>
      <c r="D155" s="50"/>
      <c r="E155" s="52">
        <v>12000</v>
      </c>
      <c r="F155" s="53">
        <f>IFERROR(SUM(H157,H158,H159,H160,H161,H162,H163,H164,H165,H166,H167,H168,H170,H171,H172,H173,H174),0)</f>
        <v>1880.5555555555554</v>
      </c>
      <c r="G155" s="54">
        <f>IFERROR(E155*'💰 고정비용 DB'!$D$22/'💰 고정비용 DB'!$D$25,0)</f>
        <v>7923.5647917609776</v>
      </c>
      <c r="H155" s="55">
        <f>IFERROR(G155-F155,"")</f>
        <v>6043.009236205422</v>
      </c>
      <c r="I155" s="56">
        <f>IFERROR(H155/E155,"")</f>
        <v>0.50358410301711853</v>
      </c>
      <c r="J155" s="57" t="str">
        <f>IF(I155="","⬜ 미입력",IF(I155&lt;=0.2,"✅ 양호",IF(I155&lt;=0.32,"🟡 주의","🔴 과다")))</f>
        <v>🔴 과다</v>
      </c>
      <c r="K155" s="50"/>
    </row>
    <row r="156" spans="2:11" ht="12.75" customHeight="1">
      <c r="B156" s="204" t="s">
        <v>291</v>
      </c>
      <c r="C156" s="204"/>
      <c r="D156" s="204"/>
      <c r="E156" s="204"/>
      <c r="F156" s="204"/>
      <c r="G156" s="204"/>
      <c r="H156" s="204"/>
      <c r="I156" s="204"/>
      <c r="J156" s="204"/>
      <c r="K156" s="204"/>
    </row>
    <row r="157" spans="2:11" ht="16.5" customHeight="1">
      <c r="B157" s="58">
        <v>1</v>
      </c>
      <c r="C157" s="6" t="s">
        <v>198</v>
      </c>
      <c r="D157" s="59" t="s">
        <v>292</v>
      </c>
      <c r="E157" s="60">
        <v>100</v>
      </c>
      <c r="F157" s="61">
        <v>1</v>
      </c>
      <c r="G157" s="25">
        <f>IFERROR(VLOOKUP(C157,'🥬 식재료 DB'!$C$7:$H$121,6,0),"")</f>
        <v>4.4000000000000004</v>
      </c>
      <c r="H157" s="62">
        <f t="shared" ref="H157:H168" si="7">IFERROR(IF(AND(C157&lt;&gt;"",ISNUMBER(E157),ISNUMBER(F157),F157&gt;0,ISNUMBER(G157)),E157/F157*G157,""),"")</f>
        <v>440.00000000000006</v>
      </c>
      <c r="I157" s="63"/>
      <c r="J157" s="63"/>
    </row>
    <row r="158" spans="2:11" ht="16.5" customHeight="1">
      <c r="B158" s="58">
        <v>2</v>
      </c>
      <c r="C158" s="64" t="s">
        <v>143</v>
      </c>
      <c r="D158" s="59" t="s">
        <v>292</v>
      </c>
      <c r="E158" s="65">
        <v>10</v>
      </c>
      <c r="F158" s="66">
        <v>1</v>
      </c>
      <c r="G158" s="25">
        <f>IFERROR(VLOOKUP(C158,'🥬 식재료 DB'!$C$7:$H$121,6,0),"")</f>
        <v>10</v>
      </c>
      <c r="H158" s="62">
        <f t="shared" si="7"/>
        <v>100</v>
      </c>
      <c r="I158" s="67"/>
      <c r="J158" s="67"/>
    </row>
    <row r="159" spans="2:11" ht="16.5" customHeight="1">
      <c r="B159" s="58">
        <v>3</v>
      </c>
      <c r="C159" s="6" t="s">
        <v>155</v>
      </c>
      <c r="D159" s="59" t="s">
        <v>292</v>
      </c>
      <c r="E159" s="60">
        <v>50</v>
      </c>
      <c r="F159" s="61">
        <v>1</v>
      </c>
      <c r="G159" s="25">
        <f>IFERROR(VLOOKUP(C159,'🥬 식재료 DB'!$C$7:$H$121,6,0),"")</f>
        <v>5</v>
      </c>
      <c r="H159" s="62">
        <f t="shared" si="7"/>
        <v>250</v>
      </c>
      <c r="I159" s="63"/>
      <c r="J159" s="63"/>
    </row>
    <row r="160" spans="2:11" ht="16.5" customHeight="1">
      <c r="B160" s="58">
        <v>4</v>
      </c>
      <c r="C160" s="64" t="s">
        <v>168</v>
      </c>
      <c r="D160" s="59" t="s">
        <v>292</v>
      </c>
      <c r="E160" s="65">
        <v>15</v>
      </c>
      <c r="F160" s="66">
        <v>1</v>
      </c>
      <c r="G160" s="25">
        <f>IFERROR(VLOOKUP(C160,'🥬 식재료 DB'!$C$7:$H$121,6,0),"")</f>
        <v>1</v>
      </c>
      <c r="H160" s="62">
        <f t="shared" si="7"/>
        <v>15</v>
      </c>
      <c r="I160" s="67"/>
      <c r="J160" s="67"/>
    </row>
    <row r="161" spans="2:11" ht="16.5" customHeight="1">
      <c r="B161" s="58">
        <v>5</v>
      </c>
      <c r="C161" s="6" t="s">
        <v>169</v>
      </c>
      <c r="D161" s="59" t="s">
        <v>292</v>
      </c>
      <c r="E161" s="60">
        <v>15</v>
      </c>
      <c r="F161" s="61">
        <v>1</v>
      </c>
      <c r="G161" s="25">
        <f>IFERROR(VLOOKUP(C161,'🥬 식재료 DB'!$C$7:$H$121,6,0),"")</f>
        <v>1.3333333333333333</v>
      </c>
      <c r="H161" s="62">
        <f t="shared" si="7"/>
        <v>20</v>
      </c>
      <c r="I161" s="63"/>
      <c r="J161" s="63"/>
    </row>
    <row r="162" spans="2:11" ht="16.5" customHeight="1">
      <c r="B162" s="58">
        <v>6</v>
      </c>
      <c r="C162" s="68"/>
      <c r="D162" s="59" t="s">
        <v>292</v>
      </c>
      <c r="E162" s="69"/>
      <c r="F162" s="70"/>
      <c r="G162" s="25" t="str">
        <f>IFERROR(VLOOKUP(C162,'🥬 식재료 DB'!$C$7:$H$121,6,0),"")</f>
        <v/>
      </c>
      <c r="H162" s="62" t="str">
        <f t="shared" si="7"/>
        <v/>
      </c>
      <c r="I162" s="67"/>
      <c r="J162" s="67"/>
    </row>
    <row r="163" spans="2:11" ht="16.5" customHeight="1">
      <c r="B163" s="58">
        <v>7</v>
      </c>
      <c r="C163" s="68"/>
      <c r="D163" s="59" t="s">
        <v>292</v>
      </c>
      <c r="E163" s="69"/>
      <c r="F163" s="70"/>
      <c r="G163" s="25" t="str">
        <f>IFERROR(VLOOKUP(C163,'🥬 식재료 DB'!$C$7:$H$121,6,0),"")</f>
        <v/>
      </c>
      <c r="H163" s="62" t="str">
        <f t="shared" si="7"/>
        <v/>
      </c>
      <c r="I163" s="63"/>
      <c r="J163" s="63"/>
    </row>
    <row r="164" spans="2:11" ht="16.5" customHeight="1">
      <c r="B164" s="58">
        <v>8</v>
      </c>
      <c r="C164" s="68"/>
      <c r="D164" s="59" t="s">
        <v>292</v>
      </c>
      <c r="E164" s="69"/>
      <c r="F164" s="70"/>
      <c r="G164" s="25" t="str">
        <f>IFERROR(VLOOKUP(C164,'🥬 식재료 DB'!$C$7:$H$121,6,0),"")</f>
        <v/>
      </c>
      <c r="H164" s="62" t="str">
        <f t="shared" si="7"/>
        <v/>
      </c>
      <c r="I164" s="67"/>
      <c r="J164" s="67"/>
    </row>
    <row r="165" spans="2:11" ht="16.5" customHeight="1">
      <c r="B165" s="58">
        <v>9</v>
      </c>
      <c r="C165" s="68"/>
      <c r="D165" s="59" t="s">
        <v>292</v>
      </c>
      <c r="E165" s="69"/>
      <c r="F165" s="70"/>
      <c r="G165" s="25" t="str">
        <f>IFERROR(VLOOKUP(C165,'🥬 식재료 DB'!$C$7:$H$121,6,0),"")</f>
        <v/>
      </c>
      <c r="H165" s="62" t="str">
        <f t="shared" si="7"/>
        <v/>
      </c>
      <c r="I165" s="63"/>
      <c r="J165" s="63"/>
    </row>
    <row r="166" spans="2:11" ht="16.5" customHeight="1">
      <c r="B166" s="58">
        <v>10</v>
      </c>
      <c r="C166" s="68"/>
      <c r="D166" s="59" t="s">
        <v>292</v>
      </c>
      <c r="E166" s="69"/>
      <c r="F166" s="70"/>
      <c r="G166" s="25" t="str">
        <f>IFERROR(VLOOKUP(C166,'🥬 식재료 DB'!$C$7:$H$121,6,0),"")</f>
        <v/>
      </c>
      <c r="H166" s="62" t="str">
        <f t="shared" si="7"/>
        <v/>
      </c>
      <c r="I166" s="67"/>
      <c r="J166" s="67"/>
    </row>
    <row r="167" spans="2:11" ht="16.5" customHeight="1">
      <c r="B167" s="58">
        <v>11</v>
      </c>
      <c r="C167" s="68"/>
      <c r="D167" s="59" t="s">
        <v>292</v>
      </c>
      <c r="E167" s="69"/>
      <c r="F167" s="70"/>
      <c r="G167" s="25" t="str">
        <f>IFERROR(VLOOKUP(C167,'🥬 식재료 DB'!$C$7:$H$121,6,0),"")</f>
        <v/>
      </c>
      <c r="H167" s="62" t="str">
        <f t="shared" si="7"/>
        <v/>
      </c>
      <c r="I167" s="63"/>
      <c r="J167" s="63"/>
    </row>
    <row r="168" spans="2:11" ht="16.5" customHeight="1">
      <c r="B168" s="58">
        <v>12</v>
      </c>
      <c r="C168" s="68"/>
      <c r="D168" s="59" t="s">
        <v>292</v>
      </c>
      <c r="E168" s="69"/>
      <c r="F168" s="70"/>
      <c r="G168" s="25" t="str">
        <f>IFERROR(VLOOKUP(C168,'🥬 식재료 DB'!$C$7:$H$121,6,0),"")</f>
        <v/>
      </c>
      <c r="H168" s="62" t="str">
        <f t="shared" si="7"/>
        <v/>
      </c>
      <c r="I168" s="67"/>
      <c r="J168" s="67"/>
    </row>
    <row r="169" spans="2:11" ht="12.75" customHeight="1">
      <c r="B169" s="203" t="s">
        <v>293</v>
      </c>
      <c r="C169" s="203"/>
      <c r="D169" s="203"/>
      <c r="E169" s="203"/>
      <c r="F169" s="203"/>
      <c r="G169" s="203"/>
      <c r="H169" s="203"/>
      <c r="I169" s="203"/>
      <c r="J169" s="203"/>
      <c r="K169" s="203"/>
    </row>
    <row r="170" spans="2:11" ht="16.5" customHeight="1">
      <c r="B170" s="71">
        <v>13</v>
      </c>
      <c r="C170" s="6" t="s">
        <v>309</v>
      </c>
      <c r="D170" s="72" t="s">
        <v>295</v>
      </c>
      <c r="E170" s="60">
        <v>100</v>
      </c>
      <c r="F170" s="61">
        <v>1</v>
      </c>
      <c r="G170" s="73">
        <f>IFERROR(VLOOKUP(C170,'🧪 프렙 원가표'!$C$8:$D$18,2,0),IFERROR(VLOOKUP(C170,'🥬 식재료 DB'!$C$7:$H$121,6,0),""))</f>
        <v>10.555555555555555</v>
      </c>
      <c r="H170" s="74">
        <f>IFERROR(IF(AND(C170&lt;&gt;"",ISNUMBER(E170),ISNUMBER(F170),F170&gt;0,ISNUMBER(G170)),E170/F170*G170,""),"")</f>
        <v>1055.5555555555554</v>
      </c>
      <c r="I170" s="63"/>
      <c r="J170" s="63"/>
    </row>
    <row r="171" spans="2:11" ht="16.5" customHeight="1">
      <c r="B171" s="71">
        <v>14</v>
      </c>
      <c r="C171" s="68"/>
      <c r="D171" s="72" t="s">
        <v>295</v>
      </c>
      <c r="E171" s="69"/>
      <c r="F171" s="70"/>
      <c r="G171" s="73" t="str">
        <f>IFERROR(VLOOKUP(C171,'🧪 프렙 원가표'!$C$8:$D$18,2,0),IFERROR(VLOOKUP(C171,'🥬 식재료 DB'!$C$7:$H$121,6,0),""))</f>
        <v/>
      </c>
      <c r="H171" s="74" t="str">
        <f>IFERROR(IF(AND(C171&lt;&gt;"",ISNUMBER(E171),ISNUMBER(F171),F171&gt;0,ISNUMBER(G171)),E171/F171*G171,""),"")</f>
        <v/>
      </c>
      <c r="I171" s="77"/>
      <c r="J171" s="77"/>
    </row>
    <row r="172" spans="2:11" ht="16.5" customHeight="1">
      <c r="B172" s="71">
        <v>15</v>
      </c>
      <c r="C172" s="68"/>
      <c r="D172" s="72" t="s">
        <v>295</v>
      </c>
      <c r="E172" s="69"/>
      <c r="F172" s="70"/>
      <c r="G172" s="73" t="str">
        <f>IFERROR(VLOOKUP(C172,'🧪 프렙 원가표'!$C$8:$D$18,2,0),IFERROR(VLOOKUP(C172,'🥬 식재료 DB'!$C$7:$H$121,6,0),""))</f>
        <v/>
      </c>
      <c r="H172" s="74" t="str">
        <f>IFERROR(IF(AND(C172&lt;&gt;"",ISNUMBER(E172),ISNUMBER(F172),F172&gt;0,ISNUMBER(G172)),E172/F172*G172,""),"")</f>
        <v/>
      </c>
      <c r="I172" s="63"/>
      <c r="J172" s="63"/>
    </row>
    <row r="173" spans="2:11" ht="16.5" customHeight="1">
      <c r="B173" s="71">
        <v>16</v>
      </c>
      <c r="C173" s="68"/>
      <c r="D173" s="72" t="s">
        <v>295</v>
      </c>
      <c r="E173" s="69"/>
      <c r="F173" s="70"/>
      <c r="G173" s="73" t="str">
        <f>IFERROR(VLOOKUP(C173,'🧪 프렙 원가표'!$C$8:$D$18,2,0),IFERROR(VLOOKUP(C173,'🥬 식재료 DB'!$C$7:$H$121,6,0),""))</f>
        <v/>
      </c>
      <c r="H173" s="74" t="str">
        <f>IFERROR(IF(AND(C173&lt;&gt;"",ISNUMBER(E173),ISNUMBER(F173),F173&gt;0,ISNUMBER(G173)),E173/F173*G173,""),"")</f>
        <v/>
      </c>
      <c r="I173" s="77"/>
      <c r="J173" s="77"/>
    </row>
    <row r="174" spans="2:11" ht="16.5" customHeight="1">
      <c r="B174" s="71">
        <v>17</v>
      </c>
      <c r="C174" s="68"/>
      <c r="D174" s="72" t="s">
        <v>295</v>
      </c>
      <c r="E174" s="69"/>
      <c r="F174" s="70"/>
      <c r="G174" s="73" t="str">
        <f>IFERROR(VLOOKUP(C174,'🧪 프렙 원가표'!$C$8:$D$18,2,0),IFERROR(VLOOKUP(C174,'🥬 식재료 DB'!$C$7:$H$121,6,0),""))</f>
        <v/>
      </c>
      <c r="H174" s="74" t="str">
        <f>IFERROR(IF(AND(C174&lt;&gt;"",ISNUMBER(E174),ISNUMBER(F174),F174&gt;0,ISNUMBER(G174)),E174/F174*G174,""),"")</f>
        <v/>
      </c>
      <c r="I174" s="63"/>
      <c r="J174" s="63"/>
    </row>
    <row r="175" spans="2:11" ht="3.75" customHeight="1">
      <c r="B175" s="78"/>
      <c r="C175" s="78"/>
      <c r="D175" s="78"/>
      <c r="E175" s="78"/>
      <c r="F175" s="78"/>
      <c r="G175" s="78"/>
      <c r="H175" s="78"/>
      <c r="I175" s="78"/>
      <c r="J175" s="78"/>
      <c r="K175" s="78"/>
    </row>
    <row r="176" spans="2:11" ht="27" customHeight="1">
      <c r="B176" s="50"/>
      <c r="C176" s="51" t="s">
        <v>310</v>
      </c>
      <c r="D176" s="50"/>
      <c r="E176" s="52">
        <v>14000</v>
      </c>
      <c r="F176" s="53">
        <f>IFERROR(SUM(H178,H179,H180,H181,H182,H183,H184,H185,H186,H187,H188,H189,H191,H192,H193,H194,H195),0)</f>
        <v>1767.4136396011395</v>
      </c>
      <c r="G176" s="54">
        <f>IFERROR(E176*'💰 고정비용 DB'!$D$22/'💰 고정비용 DB'!$D$25,0)</f>
        <v>9244.158923721141</v>
      </c>
      <c r="H176" s="55">
        <f>IFERROR(G176-F176,"")</f>
        <v>7476.7452841200011</v>
      </c>
      <c r="I176" s="56">
        <f>IFERROR(H176/E176,"")</f>
        <v>0.53405323458000009</v>
      </c>
      <c r="J176" s="57" t="str">
        <f>IF(I176="","⬜ 미입력",IF(I176&lt;=0.2,"✅ 양호",IF(I176&lt;=0.32,"🟡 주의","🔴 과다")))</f>
        <v>🔴 과다</v>
      </c>
      <c r="K176" s="50"/>
    </row>
    <row r="177" spans="2:11" ht="12.75" customHeight="1">
      <c r="B177" s="204" t="s">
        <v>291</v>
      </c>
      <c r="C177" s="204"/>
      <c r="D177" s="204"/>
      <c r="E177" s="204"/>
      <c r="F177" s="204"/>
      <c r="G177" s="204"/>
      <c r="H177" s="204"/>
      <c r="I177" s="204"/>
      <c r="J177" s="204"/>
      <c r="K177" s="204"/>
    </row>
    <row r="178" spans="2:11" ht="16.5" customHeight="1">
      <c r="B178" s="58">
        <v>1</v>
      </c>
      <c r="C178" s="6" t="s">
        <v>198</v>
      </c>
      <c r="D178" s="59" t="s">
        <v>292</v>
      </c>
      <c r="E178" s="60">
        <v>50</v>
      </c>
      <c r="F178" s="61">
        <v>1</v>
      </c>
      <c r="G178" s="25">
        <f>IFERROR(VLOOKUP(C178,'🥬 식재료 DB'!$C$7:$H$121,6,0),"")</f>
        <v>4.4000000000000004</v>
      </c>
      <c r="H178" s="62">
        <f t="shared" ref="H178:H189" si="8">IFERROR(IF(AND(C178&lt;&gt;"",ISNUMBER(E178),ISNUMBER(F178),F178&gt;0,ISNUMBER(G178)),E178/F178*G178,""),"")</f>
        <v>220.00000000000003</v>
      </c>
      <c r="I178" s="63"/>
      <c r="J178" s="63"/>
    </row>
    <row r="179" spans="2:11" ht="16.5" customHeight="1">
      <c r="B179" s="58">
        <v>2</v>
      </c>
      <c r="C179" s="64" t="s">
        <v>146</v>
      </c>
      <c r="D179" s="59" t="s">
        <v>292</v>
      </c>
      <c r="E179" s="65">
        <v>15</v>
      </c>
      <c r="F179" s="66">
        <v>1</v>
      </c>
      <c r="G179" s="25">
        <f>IFERROR(VLOOKUP(C179,'🥬 식재료 DB'!$C$7:$H$121,6,0),"")</f>
        <v>18</v>
      </c>
      <c r="H179" s="62">
        <f t="shared" si="8"/>
        <v>270</v>
      </c>
      <c r="I179" s="67"/>
      <c r="J179" s="67"/>
    </row>
    <row r="180" spans="2:11" ht="16.5" customHeight="1">
      <c r="B180" s="58">
        <v>3</v>
      </c>
      <c r="C180" s="6" t="s">
        <v>145</v>
      </c>
      <c r="D180" s="59" t="s">
        <v>292</v>
      </c>
      <c r="E180" s="60">
        <v>10</v>
      </c>
      <c r="F180" s="61">
        <v>1</v>
      </c>
      <c r="G180" s="25">
        <f>IFERROR(VLOOKUP(C180,'🥬 식재료 DB'!$C$7:$H$121,6,0),"")</f>
        <v>14</v>
      </c>
      <c r="H180" s="62">
        <f t="shared" si="8"/>
        <v>140</v>
      </c>
      <c r="I180" s="63"/>
      <c r="J180" s="63"/>
    </row>
    <row r="181" spans="2:11" ht="16.5" customHeight="1">
      <c r="B181" s="58">
        <v>4</v>
      </c>
      <c r="C181" s="64" t="s">
        <v>168</v>
      </c>
      <c r="D181" s="59" t="s">
        <v>292</v>
      </c>
      <c r="E181" s="65">
        <v>15</v>
      </c>
      <c r="F181" s="66">
        <v>1</v>
      </c>
      <c r="G181" s="25">
        <f>IFERROR(VLOOKUP(C181,'🥬 식재료 DB'!$C$7:$H$121,6,0),"")</f>
        <v>1</v>
      </c>
      <c r="H181" s="62">
        <f t="shared" si="8"/>
        <v>15</v>
      </c>
      <c r="I181" s="67"/>
      <c r="J181" s="67"/>
    </row>
    <row r="182" spans="2:11" ht="16.5" customHeight="1">
      <c r="B182" s="58">
        <v>5</v>
      </c>
      <c r="C182" s="17" t="s">
        <v>238</v>
      </c>
      <c r="D182" s="59" t="s">
        <v>292</v>
      </c>
      <c r="E182" s="60">
        <v>5</v>
      </c>
      <c r="F182" s="61">
        <v>1</v>
      </c>
      <c r="G182" s="25">
        <f>IFERROR(VLOOKUP(C182,'🥬 식재료 DB'!$C$7:$H$121,6,0),"")</f>
        <v>107.77777777777777</v>
      </c>
      <c r="H182" s="62">
        <f t="shared" si="8"/>
        <v>538.88888888888891</v>
      </c>
      <c r="I182" s="63"/>
      <c r="J182" s="63"/>
    </row>
    <row r="183" spans="2:11" ht="16.5" customHeight="1">
      <c r="B183" s="58">
        <v>6</v>
      </c>
      <c r="C183" s="68"/>
      <c r="D183" s="59" t="s">
        <v>292</v>
      </c>
      <c r="E183" s="69"/>
      <c r="F183" s="70"/>
      <c r="G183" s="25" t="str">
        <f>IFERROR(VLOOKUP(C183,'🥬 식재료 DB'!$C$7:$H$121,6,0),"")</f>
        <v/>
      </c>
      <c r="H183" s="62" t="str">
        <f t="shared" si="8"/>
        <v/>
      </c>
      <c r="I183" s="67"/>
      <c r="J183" s="67"/>
    </row>
    <row r="184" spans="2:11" ht="16.5" customHeight="1">
      <c r="B184" s="58">
        <v>7</v>
      </c>
      <c r="C184" s="68"/>
      <c r="D184" s="59" t="s">
        <v>292</v>
      </c>
      <c r="E184" s="69"/>
      <c r="F184" s="70"/>
      <c r="G184" s="25" t="str">
        <f>IFERROR(VLOOKUP(C184,'🥬 식재료 DB'!$C$7:$H$121,6,0),"")</f>
        <v/>
      </c>
      <c r="H184" s="62" t="str">
        <f t="shared" si="8"/>
        <v/>
      </c>
      <c r="I184" s="63"/>
      <c r="J184" s="63"/>
    </row>
    <row r="185" spans="2:11" ht="16.5" customHeight="1">
      <c r="B185" s="58">
        <v>8</v>
      </c>
      <c r="C185" s="68"/>
      <c r="D185" s="59" t="s">
        <v>292</v>
      </c>
      <c r="E185" s="69"/>
      <c r="F185" s="70"/>
      <c r="G185" s="25" t="str">
        <f>IFERROR(VLOOKUP(C185,'🥬 식재료 DB'!$C$7:$H$121,6,0),"")</f>
        <v/>
      </c>
      <c r="H185" s="62" t="str">
        <f t="shared" si="8"/>
        <v/>
      </c>
      <c r="I185" s="67"/>
      <c r="J185" s="67"/>
    </row>
    <row r="186" spans="2:11" ht="16.5" customHeight="1">
      <c r="B186" s="58">
        <v>9</v>
      </c>
      <c r="C186" s="68"/>
      <c r="D186" s="59" t="s">
        <v>292</v>
      </c>
      <c r="E186" s="69"/>
      <c r="F186" s="70"/>
      <c r="G186" s="25" t="str">
        <f>IFERROR(VLOOKUP(C186,'🥬 식재료 DB'!$C$7:$H$121,6,0),"")</f>
        <v/>
      </c>
      <c r="H186" s="62" t="str">
        <f t="shared" si="8"/>
        <v/>
      </c>
      <c r="I186" s="63"/>
      <c r="J186" s="63"/>
    </row>
    <row r="187" spans="2:11" ht="16.5" customHeight="1">
      <c r="B187" s="58">
        <v>10</v>
      </c>
      <c r="C187" s="68"/>
      <c r="D187" s="59" t="s">
        <v>292</v>
      </c>
      <c r="E187" s="69"/>
      <c r="F187" s="70"/>
      <c r="G187" s="25" t="str">
        <f>IFERROR(VLOOKUP(C187,'🥬 식재료 DB'!$C$7:$H$121,6,0),"")</f>
        <v/>
      </c>
      <c r="H187" s="62" t="str">
        <f t="shared" si="8"/>
        <v/>
      </c>
      <c r="I187" s="67"/>
      <c r="J187" s="67"/>
    </row>
    <row r="188" spans="2:11" ht="16.5" customHeight="1">
      <c r="B188" s="58">
        <v>11</v>
      </c>
      <c r="C188" s="68"/>
      <c r="D188" s="59" t="s">
        <v>292</v>
      </c>
      <c r="E188" s="69"/>
      <c r="F188" s="70"/>
      <c r="G188" s="25" t="str">
        <f>IFERROR(VLOOKUP(C188,'🥬 식재료 DB'!$C$7:$H$121,6,0),"")</f>
        <v/>
      </c>
      <c r="H188" s="62" t="str">
        <f t="shared" si="8"/>
        <v/>
      </c>
      <c r="I188" s="63"/>
      <c r="J188" s="63"/>
    </row>
    <row r="189" spans="2:11" ht="16.5" customHeight="1">
      <c r="B189" s="58">
        <v>12</v>
      </c>
      <c r="C189" s="68"/>
      <c r="D189" s="59" t="s">
        <v>292</v>
      </c>
      <c r="E189" s="69"/>
      <c r="F189" s="70"/>
      <c r="G189" s="25" t="str">
        <f>IFERROR(VLOOKUP(C189,'🥬 식재료 DB'!$C$7:$H$121,6,0),"")</f>
        <v/>
      </c>
      <c r="H189" s="62" t="str">
        <f t="shared" si="8"/>
        <v/>
      </c>
      <c r="I189" s="67"/>
      <c r="J189" s="67"/>
    </row>
    <row r="190" spans="2:11" ht="12.75" customHeight="1">
      <c r="B190" s="203" t="s">
        <v>293</v>
      </c>
      <c r="C190" s="203"/>
      <c r="D190" s="203"/>
      <c r="E190" s="203"/>
      <c r="F190" s="203"/>
      <c r="G190" s="203"/>
      <c r="H190" s="203"/>
      <c r="I190" s="203"/>
      <c r="J190" s="203"/>
      <c r="K190" s="203"/>
    </row>
    <row r="191" spans="2:11" ht="16.5" customHeight="1">
      <c r="B191" s="71">
        <v>13</v>
      </c>
      <c r="C191" s="6" t="s">
        <v>294</v>
      </c>
      <c r="D191" s="72" t="s">
        <v>295</v>
      </c>
      <c r="E191" s="60">
        <v>200</v>
      </c>
      <c r="F191" s="61">
        <v>1</v>
      </c>
      <c r="G191" s="73">
        <f>IFERROR(VLOOKUP(C191,'🧪 프렙 원가표'!$C$8:$D$18,2,0),IFERROR(VLOOKUP(C191,'🥬 식재료 DB'!$C$7:$H$121,6,0),""))</f>
        <v>2.9176237535612533</v>
      </c>
      <c r="H191" s="74">
        <f>IFERROR(IF(AND(C191&lt;&gt;"",ISNUMBER(E191),ISNUMBER(F191),F191&gt;0,ISNUMBER(G191)),E191/F191*G191,""),"")</f>
        <v>583.52475071225069</v>
      </c>
      <c r="I191" s="63"/>
      <c r="J191" s="63"/>
    </row>
    <row r="192" spans="2:11" ht="16.5" customHeight="1">
      <c r="B192" s="71">
        <v>14</v>
      </c>
      <c r="C192" s="68"/>
      <c r="D192" s="72" t="s">
        <v>295</v>
      </c>
      <c r="E192" s="69"/>
      <c r="F192" s="70"/>
      <c r="G192" s="73" t="str">
        <f>IFERROR(VLOOKUP(C192,'🧪 프렙 원가표'!$C$8:$D$18,2,0),IFERROR(VLOOKUP(C192,'🥬 식재료 DB'!$C$7:$H$121,6,0),""))</f>
        <v/>
      </c>
      <c r="H192" s="74" t="str">
        <f>IFERROR(IF(AND(C192&lt;&gt;"",ISNUMBER(E192),ISNUMBER(F192),F192&gt;0,ISNUMBER(G192)),E192/F192*G192,""),"")</f>
        <v/>
      </c>
      <c r="I192" s="77"/>
      <c r="J192" s="77"/>
    </row>
    <row r="193" spans="2:11" ht="16.5" customHeight="1">
      <c r="B193" s="71">
        <v>15</v>
      </c>
      <c r="C193" s="68"/>
      <c r="D193" s="72" t="s">
        <v>295</v>
      </c>
      <c r="E193" s="69"/>
      <c r="F193" s="70"/>
      <c r="G193" s="73" t="str">
        <f>IFERROR(VLOOKUP(C193,'🧪 프렙 원가표'!$C$8:$D$18,2,0),IFERROR(VLOOKUP(C193,'🥬 식재료 DB'!$C$7:$H$121,6,0),""))</f>
        <v/>
      </c>
      <c r="H193" s="74" t="str">
        <f>IFERROR(IF(AND(C193&lt;&gt;"",ISNUMBER(E193),ISNUMBER(F193),F193&gt;0,ISNUMBER(G193)),E193/F193*G193,""),"")</f>
        <v/>
      </c>
      <c r="I193" s="63"/>
      <c r="J193" s="63"/>
    </row>
    <row r="194" spans="2:11" ht="16.5" customHeight="1">
      <c r="B194" s="71">
        <v>16</v>
      </c>
      <c r="C194" s="68"/>
      <c r="D194" s="72" t="s">
        <v>295</v>
      </c>
      <c r="E194" s="69"/>
      <c r="F194" s="70"/>
      <c r="G194" s="73" t="str">
        <f>IFERROR(VLOOKUP(C194,'🧪 프렙 원가표'!$C$8:$D$18,2,0),IFERROR(VLOOKUP(C194,'🥬 식재료 DB'!$C$7:$H$121,6,0),""))</f>
        <v/>
      </c>
      <c r="H194" s="74" t="str">
        <f>IFERROR(IF(AND(C194&lt;&gt;"",ISNUMBER(E194),ISNUMBER(F194),F194&gt;0,ISNUMBER(G194)),E194/F194*G194,""),"")</f>
        <v/>
      </c>
      <c r="I194" s="77"/>
      <c r="J194" s="77"/>
    </row>
    <row r="195" spans="2:11" ht="16.5" customHeight="1">
      <c r="B195" s="71">
        <v>17</v>
      </c>
      <c r="C195" s="68"/>
      <c r="D195" s="72" t="s">
        <v>295</v>
      </c>
      <c r="E195" s="69"/>
      <c r="F195" s="70"/>
      <c r="G195" s="73" t="str">
        <f>IFERROR(VLOOKUP(C195,'🧪 프렙 원가표'!$C$8:$D$18,2,0),IFERROR(VLOOKUP(C195,'🥬 식재료 DB'!$C$7:$H$121,6,0),""))</f>
        <v/>
      </c>
      <c r="H195" s="74" t="str">
        <f>IFERROR(IF(AND(C195&lt;&gt;"",ISNUMBER(E195),ISNUMBER(F195),F195&gt;0,ISNUMBER(G195)),E195/F195*G195,""),"")</f>
        <v/>
      </c>
      <c r="I195" s="63"/>
      <c r="J195" s="63"/>
    </row>
    <row r="196" spans="2:11" ht="3.75" customHeight="1">
      <c r="B196" s="78"/>
      <c r="C196" s="78"/>
      <c r="D196" s="78"/>
      <c r="E196" s="78"/>
      <c r="F196" s="78"/>
      <c r="G196" s="78"/>
      <c r="H196" s="78"/>
      <c r="I196" s="78"/>
      <c r="J196" s="78"/>
      <c r="K196" s="78"/>
    </row>
    <row r="197" spans="2:11" ht="27" customHeight="1">
      <c r="B197" s="50"/>
      <c r="C197" s="51" t="s">
        <v>311</v>
      </c>
      <c r="D197" s="50"/>
      <c r="E197" s="52">
        <v>12000</v>
      </c>
      <c r="F197" s="53">
        <f>IFERROR(SUM(H199,H200,H201,H202,H203,H204,H205,H206,H207,H208,H209,H210,H212,H213,H214,H215,H216),0)</f>
        <v>1093.3858618233617</v>
      </c>
      <c r="G197" s="54">
        <f>IFERROR(E197*'💰 고정비용 DB'!$D$22/'💰 고정비용 DB'!$D$25,0)</f>
        <v>7923.5647917609776</v>
      </c>
      <c r="H197" s="55">
        <f>IFERROR(G197-F197,"")</f>
        <v>6830.178929937616</v>
      </c>
      <c r="I197" s="56">
        <f>IFERROR(H197/E197,"")</f>
        <v>0.56918157749480136</v>
      </c>
      <c r="J197" s="57" t="str">
        <f>IF(I197="","⬜ 미입력",IF(I197&lt;=0.2,"✅ 양호",IF(I197&lt;=0.32,"🟡 주의","🔴 과다")))</f>
        <v>🔴 과다</v>
      </c>
      <c r="K197" s="50"/>
    </row>
    <row r="198" spans="2:11" ht="12.75" customHeight="1">
      <c r="B198" s="204" t="s">
        <v>291</v>
      </c>
      <c r="C198" s="204"/>
      <c r="D198" s="204"/>
      <c r="E198" s="204"/>
      <c r="F198" s="204"/>
      <c r="G198" s="204"/>
      <c r="H198" s="204"/>
      <c r="I198" s="204"/>
      <c r="J198" s="204"/>
      <c r="K198" s="204"/>
    </row>
    <row r="199" spans="2:11" ht="16.5" customHeight="1">
      <c r="B199" s="58">
        <v>1</v>
      </c>
      <c r="C199" s="6" t="s">
        <v>196</v>
      </c>
      <c r="D199" s="59" t="s">
        <v>292</v>
      </c>
      <c r="E199" s="60">
        <v>100</v>
      </c>
      <c r="F199" s="61">
        <v>1</v>
      </c>
      <c r="G199" s="25">
        <f>IFERROR(VLOOKUP(C199,'🥬 식재료 DB'!$C$7:$H$121,6,0),"")</f>
        <v>4.8888888888888893</v>
      </c>
      <c r="H199" s="62">
        <f t="shared" ref="H199:H210" si="9">IFERROR(IF(AND(C199&lt;&gt;"",ISNUMBER(E199),ISNUMBER(F199),F199&gt;0,ISNUMBER(G199)),E199/F199*G199,""),"")</f>
        <v>488.88888888888891</v>
      </c>
      <c r="I199" s="63"/>
      <c r="J199" s="63"/>
    </row>
    <row r="200" spans="2:11" ht="16.5" customHeight="1">
      <c r="B200" s="58">
        <v>2</v>
      </c>
      <c r="C200" s="64" t="s">
        <v>168</v>
      </c>
      <c r="D200" s="59" t="s">
        <v>292</v>
      </c>
      <c r="E200" s="65">
        <v>5</v>
      </c>
      <c r="F200" s="66">
        <v>1</v>
      </c>
      <c r="G200" s="25">
        <f>IFERROR(VLOOKUP(C200,'🥬 식재료 DB'!$C$7:$H$121,6,0),"")</f>
        <v>1</v>
      </c>
      <c r="H200" s="62">
        <f t="shared" si="9"/>
        <v>5</v>
      </c>
      <c r="I200" s="67"/>
      <c r="J200" s="67"/>
    </row>
    <row r="201" spans="2:11" ht="16.5" customHeight="1">
      <c r="B201" s="58">
        <v>3</v>
      </c>
      <c r="C201" s="68"/>
      <c r="D201" s="59" t="s">
        <v>292</v>
      </c>
      <c r="E201" s="69"/>
      <c r="F201" s="70"/>
      <c r="G201" s="25" t="str">
        <f>IFERROR(VLOOKUP(C201,'🥬 식재료 DB'!$C$7:$H$121,6,0),"")</f>
        <v/>
      </c>
      <c r="H201" s="62" t="str">
        <f t="shared" si="9"/>
        <v/>
      </c>
      <c r="I201" s="63"/>
      <c r="J201" s="63"/>
    </row>
    <row r="202" spans="2:11" ht="16.5" customHeight="1">
      <c r="B202" s="58">
        <v>4</v>
      </c>
      <c r="C202" s="68"/>
      <c r="D202" s="59" t="s">
        <v>292</v>
      </c>
      <c r="E202" s="69"/>
      <c r="F202" s="70"/>
      <c r="G202" s="25" t="str">
        <f>IFERROR(VLOOKUP(C202,'🥬 식재료 DB'!$C$7:$H$121,6,0),"")</f>
        <v/>
      </c>
      <c r="H202" s="62" t="str">
        <f t="shared" si="9"/>
        <v/>
      </c>
      <c r="I202" s="67"/>
      <c r="J202" s="67"/>
    </row>
    <row r="203" spans="2:11" ht="16.5" customHeight="1">
      <c r="B203" s="58">
        <v>5</v>
      </c>
      <c r="C203" s="68"/>
      <c r="D203" s="59" t="s">
        <v>292</v>
      </c>
      <c r="E203" s="69"/>
      <c r="F203" s="70"/>
      <c r="G203" s="25" t="str">
        <f>IFERROR(VLOOKUP(C203,'🥬 식재료 DB'!$C$7:$H$121,6,0),"")</f>
        <v/>
      </c>
      <c r="H203" s="62" t="str">
        <f t="shared" si="9"/>
        <v/>
      </c>
      <c r="I203" s="63"/>
      <c r="J203" s="63"/>
    </row>
    <row r="204" spans="2:11" ht="16.5" customHeight="1">
      <c r="B204" s="58">
        <v>6</v>
      </c>
      <c r="C204" s="68"/>
      <c r="D204" s="59" t="s">
        <v>292</v>
      </c>
      <c r="E204" s="69"/>
      <c r="F204" s="70"/>
      <c r="G204" s="25" t="str">
        <f>IFERROR(VLOOKUP(C204,'🥬 식재료 DB'!$C$7:$H$121,6,0),"")</f>
        <v/>
      </c>
      <c r="H204" s="62" t="str">
        <f t="shared" si="9"/>
        <v/>
      </c>
      <c r="I204" s="67"/>
      <c r="J204" s="67"/>
    </row>
    <row r="205" spans="2:11" ht="16.5" customHeight="1">
      <c r="B205" s="58">
        <v>7</v>
      </c>
      <c r="C205" s="68"/>
      <c r="D205" s="59" t="s">
        <v>292</v>
      </c>
      <c r="E205" s="69"/>
      <c r="F205" s="70"/>
      <c r="G205" s="25" t="str">
        <f>IFERROR(VLOOKUP(C205,'🥬 식재료 DB'!$C$7:$H$121,6,0),"")</f>
        <v/>
      </c>
      <c r="H205" s="62" t="str">
        <f t="shared" si="9"/>
        <v/>
      </c>
      <c r="I205" s="63"/>
      <c r="J205" s="63"/>
    </row>
    <row r="206" spans="2:11" ht="16.5" customHeight="1">
      <c r="B206" s="58">
        <v>8</v>
      </c>
      <c r="C206" s="68"/>
      <c r="D206" s="59" t="s">
        <v>292</v>
      </c>
      <c r="E206" s="69"/>
      <c r="F206" s="70"/>
      <c r="G206" s="25" t="str">
        <f>IFERROR(VLOOKUP(C206,'🥬 식재료 DB'!$C$7:$H$121,6,0),"")</f>
        <v/>
      </c>
      <c r="H206" s="62" t="str">
        <f t="shared" si="9"/>
        <v/>
      </c>
      <c r="I206" s="67"/>
      <c r="J206" s="67"/>
    </row>
    <row r="207" spans="2:11" ht="16.5" customHeight="1">
      <c r="B207" s="58">
        <v>9</v>
      </c>
      <c r="C207" s="68"/>
      <c r="D207" s="59" t="s">
        <v>292</v>
      </c>
      <c r="E207" s="69"/>
      <c r="F207" s="70"/>
      <c r="G207" s="25" t="str">
        <f>IFERROR(VLOOKUP(C207,'🥬 식재료 DB'!$C$7:$H$121,6,0),"")</f>
        <v/>
      </c>
      <c r="H207" s="62" t="str">
        <f t="shared" si="9"/>
        <v/>
      </c>
      <c r="I207" s="63"/>
      <c r="J207" s="63"/>
    </row>
    <row r="208" spans="2:11" ht="16.5" customHeight="1">
      <c r="B208" s="58">
        <v>10</v>
      </c>
      <c r="C208" s="68"/>
      <c r="D208" s="59" t="s">
        <v>292</v>
      </c>
      <c r="E208" s="69"/>
      <c r="F208" s="70"/>
      <c r="G208" s="25" t="str">
        <f>IFERROR(VLOOKUP(C208,'🥬 식재료 DB'!$C$7:$H$121,6,0),"")</f>
        <v/>
      </c>
      <c r="H208" s="62" t="str">
        <f t="shared" si="9"/>
        <v/>
      </c>
      <c r="I208" s="67"/>
      <c r="J208" s="67"/>
    </row>
    <row r="209" spans="2:11" ht="16.5" customHeight="1">
      <c r="B209" s="58">
        <v>11</v>
      </c>
      <c r="C209" s="68"/>
      <c r="D209" s="59" t="s">
        <v>292</v>
      </c>
      <c r="E209" s="69"/>
      <c r="F209" s="70"/>
      <c r="G209" s="25" t="str">
        <f>IFERROR(VLOOKUP(C209,'🥬 식재료 DB'!$C$7:$H$121,6,0),"")</f>
        <v/>
      </c>
      <c r="H209" s="62" t="str">
        <f t="shared" si="9"/>
        <v/>
      </c>
      <c r="I209" s="63"/>
      <c r="J209" s="63"/>
    </row>
    <row r="210" spans="2:11" ht="16.5" customHeight="1">
      <c r="B210" s="58">
        <v>12</v>
      </c>
      <c r="C210" s="68"/>
      <c r="D210" s="59" t="s">
        <v>292</v>
      </c>
      <c r="E210" s="69"/>
      <c r="F210" s="70"/>
      <c r="G210" s="25" t="str">
        <f>IFERROR(VLOOKUP(C210,'🥬 식재료 DB'!$C$7:$H$121,6,0),"")</f>
        <v/>
      </c>
      <c r="H210" s="62" t="str">
        <f t="shared" si="9"/>
        <v/>
      </c>
      <c r="I210" s="67"/>
      <c r="J210" s="67"/>
    </row>
    <row r="211" spans="2:11" ht="12.75" customHeight="1">
      <c r="B211" s="203" t="s">
        <v>293</v>
      </c>
      <c r="C211" s="203"/>
      <c r="D211" s="203"/>
      <c r="E211" s="203"/>
      <c r="F211" s="203"/>
      <c r="G211" s="203"/>
      <c r="H211" s="203"/>
      <c r="I211" s="203"/>
      <c r="J211" s="203"/>
      <c r="K211" s="203"/>
    </row>
    <row r="212" spans="2:11" ht="16.5" customHeight="1">
      <c r="B212" s="71">
        <v>13</v>
      </c>
      <c r="C212" s="6" t="s">
        <v>294</v>
      </c>
      <c r="D212" s="72" t="s">
        <v>295</v>
      </c>
      <c r="E212" s="60">
        <v>200</v>
      </c>
      <c r="F212" s="61">
        <v>1</v>
      </c>
      <c r="G212" s="73">
        <f>IFERROR(VLOOKUP(C212,'🧪 프렙 원가표'!$C$8:$D$18,2,0),IFERROR(VLOOKUP(C212,'🥬 식재료 DB'!$C$7:$H$121,6,0),""))</f>
        <v>2.9176237535612533</v>
      </c>
      <c r="H212" s="74">
        <f>IFERROR(IF(AND(C212&lt;&gt;"",ISNUMBER(E212),ISNUMBER(F212),F212&gt;0,ISNUMBER(G212)),E212/F212*G212,""),"")</f>
        <v>583.52475071225069</v>
      </c>
      <c r="I212" s="63"/>
      <c r="J212" s="63"/>
    </row>
    <row r="213" spans="2:11" ht="16.5" customHeight="1">
      <c r="B213" s="71">
        <v>14</v>
      </c>
      <c r="C213" s="12" t="s">
        <v>312</v>
      </c>
      <c r="D213" s="72" t="s">
        <v>295</v>
      </c>
      <c r="E213" s="75">
        <v>10</v>
      </c>
      <c r="F213" s="76">
        <v>1</v>
      </c>
      <c r="G213" s="73">
        <f>IFERROR(VLOOKUP(C213,'🧪 프렙 원가표'!$C$8:$D$18,2,0),IFERROR(VLOOKUP(C213,'🥬 식재료 DB'!$C$7:$H$121,6,0),""))</f>
        <v>1.5972222222222221</v>
      </c>
      <c r="H213" s="74">
        <f>IFERROR(IF(AND(C213&lt;&gt;"",ISNUMBER(E213),ISNUMBER(F213),F213&gt;0,ISNUMBER(G213)),E213/F213*G213,""),"")</f>
        <v>15.972222222222221</v>
      </c>
      <c r="I213" s="77"/>
      <c r="J213" s="77"/>
    </row>
    <row r="214" spans="2:11" ht="16.5" customHeight="1">
      <c r="B214" s="71">
        <v>15</v>
      </c>
      <c r="C214" s="68"/>
      <c r="D214" s="72" t="s">
        <v>295</v>
      </c>
      <c r="E214" s="69"/>
      <c r="F214" s="70"/>
      <c r="G214" s="73" t="str">
        <f>IFERROR(VLOOKUP(C214,'🧪 프렙 원가표'!$C$8:$D$18,2,0),IFERROR(VLOOKUP(C214,'🥬 식재료 DB'!$C$7:$H$121,6,0),""))</f>
        <v/>
      </c>
      <c r="H214" s="74" t="str">
        <f>IFERROR(IF(AND(C214&lt;&gt;"",ISNUMBER(E214),ISNUMBER(F214),F214&gt;0,ISNUMBER(G214)),E214/F214*G214,""),"")</f>
        <v/>
      </c>
      <c r="I214" s="63"/>
      <c r="J214" s="63"/>
    </row>
    <row r="215" spans="2:11" ht="16.5" customHeight="1">
      <c r="B215" s="71">
        <v>16</v>
      </c>
      <c r="C215" s="68"/>
      <c r="D215" s="72" t="s">
        <v>295</v>
      </c>
      <c r="E215" s="69"/>
      <c r="F215" s="70"/>
      <c r="G215" s="73" t="str">
        <f>IFERROR(VLOOKUP(C215,'🧪 프렙 원가표'!$C$8:$D$18,2,0),IFERROR(VLOOKUP(C215,'🥬 식재료 DB'!$C$7:$H$121,6,0),""))</f>
        <v/>
      </c>
      <c r="H215" s="74" t="str">
        <f>IFERROR(IF(AND(C215&lt;&gt;"",ISNUMBER(E215),ISNUMBER(F215),F215&gt;0,ISNUMBER(G215)),E215/F215*G215,""),"")</f>
        <v/>
      </c>
      <c r="I215" s="77"/>
      <c r="J215" s="77"/>
    </row>
    <row r="216" spans="2:11" ht="16.5" customHeight="1">
      <c r="B216" s="71">
        <v>17</v>
      </c>
      <c r="C216" s="68"/>
      <c r="D216" s="72" t="s">
        <v>295</v>
      </c>
      <c r="E216" s="69"/>
      <c r="F216" s="70"/>
      <c r="G216" s="73" t="str">
        <f>IFERROR(VLOOKUP(C216,'🧪 프렙 원가표'!$C$8:$D$18,2,0),IFERROR(VLOOKUP(C216,'🥬 식재료 DB'!$C$7:$H$121,6,0),""))</f>
        <v/>
      </c>
      <c r="H216" s="74" t="str">
        <f>IFERROR(IF(AND(C216&lt;&gt;"",ISNUMBER(E216),ISNUMBER(F216),F216&gt;0,ISNUMBER(G216)),E216/F216*G216,""),"")</f>
        <v/>
      </c>
      <c r="I216" s="63"/>
      <c r="J216" s="63"/>
    </row>
    <row r="217" spans="2:11" ht="3.75" customHeight="1">
      <c r="B217" s="78"/>
      <c r="C217" s="78"/>
      <c r="D217" s="78"/>
      <c r="E217" s="78"/>
      <c r="F217" s="78"/>
      <c r="G217" s="78"/>
      <c r="H217" s="78"/>
      <c r="I217" s="78"/>
      <c r="J217" s="78"/>
      <c r="K217" s="78"/>
    </row>
    <row r="218" spans="2:11" ht="27" customHeight="1">
      <c r="B218" s="50"/>
      <c r="C218" s="51" t="s">
        <v>313</v>
      </c>
      <c r="D218" s="50"/>
      <c r="E218" s="52">
        <v>12000</v>
      </c>
      <c r="F218" s="53">
        <f>IFERROR(SUM(H220,H221,H222,H223,H224,H225,H226,H227,H228,H229,H230,H231,H233,H234,H235,H236,H237),0)</f>
        <v>1125.1148504273503</v>
      </c>
      <c r="G218" s="54">
        <f>IFERROR(E218*'💰 고정비용 DB'!$D$22/'💰 고정비용 DB'!$D$25,0)</f>
        <v>7923.5647917609776</v>
      </c>
      <c r="H218" s="55">
        <f>IFERROR(G218-F218,"")</f>
        <v>6798.4499413336271</v>
      </c>
      <c r="I218" s="56">
        <f>IFERROR(H218/E218,"")</f>
        <v>0.5665374951111356</v>
      </c>
      <c r="J218" s="57" t="str">
        <f>IF(I218="","⬜ 미입력",IF(I218&lt;=0.2,"✅ 양호",IF(I218&lt;=0.32,"🟡 주의","🔴 과다")))</f>
        <v>🔴 과다</v>
      </c>
      <c r="K218" s="50"/>
    </row>
    <row r="219" spans="2:11" ht="12.75" customHeight="1">
      <c r="B219" s="204" t="s">
        <v>291</v>
      </c>
      <c r="C219" s="204"/>
      <c r="D219" s="204"/>
      <c r="E219" s="204"/>
      <c r="F219" s="204"/>
      <c r="G219" s="204"/>
      <c r="H219" s="204"/>
      <c r="I219" s="204"/>
      <c r="J219" s="204"/>
      <c r="K219" s="204"/>
    </row>
    <row r="220" spans="2:11" ht="16.5" customHeight="1">
      <c r="B220" s="58">
        <v>1</v>
      </c>
      <c r="C220" s="6" t="s">
        <v>300</v>
      </c>
      <c r="D220" s="59" t="s">
        <v>292</v>
      </c>
      <c r="E220" s="60">
        <v>70</v>
      </c>
      <c r="F220" s="61">
        <v>1</v>
      </c>
      <c r="G220" s="25" t="str">
        <f>IFERROR(VLOOKUP(C220,'🥬 식재료 DB'!$C$7:$H$121,6,0),"")</f>
        <v/>
      </c>
      <c r="H220" s="62" t="str">
        <f t="shared" ref="H220:H231" si="10">IFERROR(IF(AND(C220&lt;&gt;"",ISNUMBER(E220),ISNUMBER(F220),F220&gt;0,ISNUMBER(G220)),E220/F220*G220,""),"")</f>
        <v/>
      </c>
      <c r="I220" s="63"/>
      <c r="J220" s="63"/>
    </row>
    <row r="221" spans="2:11" ht="16.5" customHeight="1">
      <c r="B221" s="58">
        <v>2</v>
      </c>
      <c r="C221" s="64" t="s">
        <v>223</v>
      </c>
      <c r="D221" s="59" t="s">
        <v>292</v>
      </c>
      <c r="E221" s="65">
        <v>30</v>
      </c>
      <c r="F221" s="66">
        <v>1</v>
      </c>
      <c r="G221" s="25">
        <f>IFERROR(VLOOKUP(C221,'🥬 식재료 DB'!$C$7:$H$121,6,0),"")</f>
        <v>10</v>
      </c>
      <c r="H221" s="62">
        <f t="shared" si="10"/>
        <v>300</v>
      </c>
      <c r="I221" s="67"/>
      <c r="J221" s="67"/>
    </row>
    <row r="222" spans="2:11" ht="16.5" customHeight="1">
      <c r="B222" s="58">
        <v>3</v>
      </c>
      <c r="C222" s="6" t="s">
        <v>227</v>
      </c>
      <c r="D222" s="59" t="s">
        <v>292</v>
      </c>
      <c r="E222" s="60">
        <v>15</v>
      </c>
      <c r="F222" s="61">
        <v>1</v>
      </c>
      <c r="G222" s="25">
        <f>IFERROR(VLOOKUP(C222,'🥬 식재료 DB'!$C$7:$H$121,6,0),"")</f>
        <v>6</v>
      </c>
      <c r="H222" s="62">
        <f t="shared" si="10"/>
        <v>90</v>
      </c>
      <c r="I222" s="63"/>
      <c r="J222" s="63"/>
    </row>
    <row r="223" spans="2:11" ht="16.5" customHeight="1">
      <c r="B223" s="58">
        <v>4</v>
      </c>
      <c r="C223" s="64" t="s">
        <v>301</v>
      </c>
      <c r="D223" s="59" t="s">
        <v>292</v>
      </c>
      <c r="E223" s="65">
        <v>10</v>
      </c>
      <c r="F223" s="66">
        <v>1</v>
      </c>
      <c r="G223" s="25" t="str">
        <f>IFERROR(VLOOKUP(C223,'🥬 식재료 DB'!$C$7:$H$121,6,0),"")</f>
        <v/>
      </c>
      <c r="H223" s="62" t="str">
        <f t="shared" si="10"/>
        <v/>
      </c>
      <c r="I223" s="67"/>
      <c r="J223" s="67"/>
    </row>
    <row r="224" spans="2:11" ht="16.5" customHeight="1">
      <c r="B224" s="58">
        <v>5</v>
      </c>
      <c r="C224" s="17" t="s">
        <v>177</v>
      </c>
      <c r="D224" s="59" t="s">
        <v>292</v>
      </c>
      <c r="E224" s="60">
        <v>15</v>
      </c>
      <c r="F224" s="61">
        <v>1</v>
      </c>
      <c r="G224" s="25">
        <f>IFERROR(VLOOKUP(C224,'🥬 식재료 DB'!$C$7:$H$121,6,0),"")</f>
        <v>22.5</v>
      </c>
      <c r="H224" s="62">
        <f t="shared" si="10"/>
        <v>337.5</v>
      </c>
      <c r="I224" s="63"/>
      <c r="J224" s="63"/>
    </row>
    <row r="225" spans="2:11" ht="16.5" customHeight="1">
      <c r="B225" s="58">
        <v>6</v>
      </c>
      <c r="C225" s="79" t="s">
        <v>302</v>
      </c>
      <c r="D225" s="59" t="s">
        <v>292</v>
      </c>
      <c r="E225" s="65">
        <v>10</v>
      </c>
      <c r="F225" s="66">
        <v>1</v>
      </c>
      <c r="G225" s="25" t="str">
        <f>IFERROR(VLOOKUP(C225,'🥬 식재료 DB'!$C$7:$H$121,6,0),"")</f>
        <v/>
      </c>
      <c r="H225" s="62" t="str">
        <f t="shared" si="10"/>
        <v/>
      </c>
      <c r="I225" s="67"/>
      <c r="J225" s="67"/>
    </row>
    <row r="226" spans="2:11" ht="16.5" customHeight="1">
      <c r="B226" s="58">
        <v>7</v>
      </c>
      <c r="C226" s="6" t="s">
        <v>303</v>
      </c>
      <c r="D226" s="59" t="s">
        <v>292</v>
      </c>
      <c r="E226" s="60">
        <v>10</v>
      </c>
      <c r="F226" s="61">
        <v>1</v>
      </c>
      <c r="G226" s="25" t="str">
        <f>IFERROR(VLOOKUP(C226,'🥬 식재료 DB'!$C$7:$H$121,6,0),"")</f>
        <v/>
      </c>
      <c r="H226" s="62" t="str">
        <f t="shared" si="10"/>
        <v/>
      </c>
      <c r="I226" s="63"/>
      <c r="J226" s="63"/>
    </row>
    <row r="227" spans="2:11" ht="16.5" customHeight="1">
      <c r="B227" s="58">
        <v>8</v>
      </c>
      <c r="C227" s="64" t="s">
        <v>215</v>
      </c>
      <c r="D227" s="59" t="s">
        <v>292</v>
      </c>
      <c r="E227" s="65">
        <v>10</v>
      </c>
      <c r="F227" s="66">
        <v>1</v>
      </c>
      <c r="G227" s="25">
        <f>IFERROR(VLOOKUP(C227,'🥬 식재료 DB'!$C$7:$H$121,6,0),"")</f>
        <v>4.25</v>
      </c>
      <c r="H227" s="62">
        <f t="shared" si="10"/>
        <v>42.5</v>
      </c>
      <c r="I227" s="67"/>
      <c r="J227" s="67"/>
    </row>
    <row r="228" spans="2:11" ht="16.5" customHeight="1">
      <c r="B228" s="58">
        <v>9</v>
      </c>
      <c r="C228" s="6" t="s">
        <v>168</v>
      </c>
      <c r="D228" s="59" t="s">
        <v>292</v>
      </c>
      <c r="E228" s="60">
        <v>5</v>
      </c>
      <c r="F228" s="61">
        <v>1</v>
      </c>
      <c r="G228" s="25">
        <f>IFERROR(VLOOKUP(C228,'🥬 식재료 DB'!$C$7:$H$121,6,0),"")</f>
        <v>1</v>
      </c>
      <c r="H228" s="62">
        <f t="shared" si="10"/>
        <v>5</v>
      </c>
      <c r="I228" s="63"/>
      <c r="J228" s="63"/>
    </row>
    <row r="229" spans="2:11" ht="16.5" customHeight="1">
      <c r="B229" s="58">
        <v>10</v>
      </c>
      <c r="C229" s="68"/>
      <c r="D229" s="59" t="s">
        <v>292</v>
      </c>
      <c r="E229" s="69"/>
      <c r="F229" s="70"/>
      <c r="G229" s="25" t="str">
        <f>IFERROR(VLOOKUP(C229,'🥬 식재료 DB'!$C$7:$H$121,6,0),"")</f>
        <v/>
      </c>
      <c r="H229" s="62" t="str">
        <f t="shared" si="10"/>
        <v/>
      </c>
      <c r="I229" s="67"/>
      <c r="J229" s="67"/>
    </row>
    <row r="230" spans="2:11" ht="16.5" customHeight="1">
      <c r="B230" s="58">
        <v>11</v>
      </c>
      <c r="C230" s="68"/>
      <c r="D230" s="59" t="s">
        <v>292</v>
      </c>
      <c r="E230" s="69"/>
      <c r="F230" s="70"/>
      <c r="G230" s="25" t="str">
        <f>IFERROR(VLOOKUP(C230,'🥬 식재료 DB'!$C$7:$H$121,6,0),"")</f>
        <v/>
      </c>
      <c r="H230" s="62" t="str">
        <f t="shared" si="10"/>
        <v/>
      </c>
      <c r="I230" s="63"/>
      <c r="J230" s="63"/>
    </row>
    <row r="231" spans="2:11" ht="16.5" customHeight="1">
      <c r="B231" s="58">
        <v>12</v>
      </c>
      <c r="C231" s="68"/>
      <c r="D231" s="59" t="s">
        <v>292</v>
      </c>
      <c r="E231" s="69"/>
      <c r="F231" s="70"/>
      <c r="G231" s="25" t="str">
        <f>IFERROR(VLOOKUP(C231,'🥬 식재료 DB'!$C$7:$H$121,6,0),"")</f>
        <v/>
      </c>
      <c r="H231" s="62" t="str">
        <f t="shared" si="10"/>
        <v/>
      </c>
      <c r="I231" s="67"/>
      <c r="J231" s="67"/>
    </row>
    <row r="232" spans="2:11" ht="12.75" customHeight="1">
      <c r="B232" s="203" t="s">
        <v>293</v>
      </c>
      <c r="C232" s="203"/>
      <c r="D232" s="203"/>
      <c r="E232" s="203"/>
      <c r="F232" s="203"/>
      <c r="G232" s="203"/>
      <c r="H232" s="203"/>
      <c r="I232" s="203"/>
      <c r="J232" s="203"/>
      <c r="K232" s="203"/>
    </row>
    <row r="233" spans="2:11" ht="16.5" customHeight="1">
      <c r="B233" s="71">
        <v>13</v>
      </c>
      <c r="C233" s="6" t="s">
        <v>294</v>
      </c>
      <c r="D233" s="72" t="s">
        <v>295</v>
      </c>
      <c r="E233" s="60">
        <v>120</v>
      </c>
      <c r="F233" s="61">
        <v>1</v>
      </c>
      <c r="G233" s="73">
        <f>IFERROR(VLOOKUP(C233,'🧪 프렙 원가표'!$C$8:$D$18,2,0),IFERROR(VLOOKUP(C233,'🥬 식재료 DB'!$C$7:$H$121,6,0),""))</f>
        <v>2.9176237535612533</v>
      </c>
      <c r="H233" s="74">
        <f>IFERROR(IF(AND(C233&lt;&gt;"",ISNUMBER(E233),ISNUMBER(F233),F233&gt;0,ISNUMBER(G233)),E233/F233*G233,""),"")</f>
        <v>350.1148504273504</v>
      </c>
      <c r="I233" s="63"/>
      <c r="J233" s="63"/>
    </row>
    <row r="234" spans="2:11" ht="16.5" customHeight="1">
      <c r="B234" s="71">
        <v>14</v>
      </c>
      <c r="C234" s="68"/>
      <c r="D234" s="72" t="s">
        <v>295</v>
      </c>
      <c r="E234" s="69"/>
      <c r="F234" s="70"/>
      <c r="G234" s="73" t="str">
        <f>IFERROR(VLOOKUP(C234,'🧪 프렙 원가표'!$C$8:$D$18,2,0),IFERROR(VLOOKUP(C234,'🥬 식재료 DB'!$C$7:$H$121,6,0),""))</f>
        <v/>
      </c>
      <c r="H234" s="74" t="str">
        <f>IFERROR(IF(AND(C234&lt;&gt;"",ISNUMBER(E234),ISNUMBER(F234),F234&gt;0,ISNUMBER(G234)),E234/F234*G234,""),"")</f>
        <v/>
      </c>
      <c r="I234" s="77"/>
      <c r="J234" s="77"/>
    </row>
    <row r="235" spans="2:11" ht="16.5" customHeight="1">
      <c r="B235" s="71">
        <v>15</v>
      </c>
      <c r="C235" s="68"/>
      <c r="D235" s="72" t="s">
        <v>295</v>
      </c>
      <c r="E235" s="69"/>
      <c r="F235" s="70"/>
      <c r="G235" s="73" t="str">
        <f>IFERROR(VLOOKUP(C235,'🧪 프렙 원가표'!$C$8:$D$18,2,0),IFERROR(VLOOKUP(C235,'🥬 식재료 DB'!$C$7:$H$121,6,0),""))</f>
        <v/>
      </c>
      <c r="H235" s="74" t="str">
        <f>IFERROR(IF(AND(C235&lt;&gt;"",ISNUMBER(E235),ISNUMBER(F235),F235&gt;0,ISNUMBER(G235)),E235/F235*G235,""),"")</f>
        <v/>
      </c>
      <c r="I235" s="63"/>
      <c r="J235" s="63"/>
    </row>
    <row r="236" spans="2:11" ht="16.5" customHeight="1">
      <c r="B236" s="71">
        <v>16</v>
      </c>
      <c r="C236" s="68"/>
      <c r="D236" s="72" t="s">
        <v>295</v>
      </c>
      <c r="E236" s="69"/>
      <c r="F236" s="70"/>
      <c r="G236" s="73" t="str">
        <f>IFERROR(VLOOKUP(C236,'🧪 프렙 원가표'!$C$8:$D$18,2,0),IFERROR(VLOOKUP(C236,'🥬 식재료 DB'!$C$7:$H$121,6,0),""))</f>
        <v/>
      </c>
      <c r="H236" s="74" t="str">
        <f>IFERROR(IF(AND(C236&lt;&gt;"",ISNUMBER(E236),ISNUMBER(F236),F236&gt;0,ISNUMBER(G236)),E236/F236*G236,""),"")</f>
        <v/>
      </c>
      <c r="I236" s="77"/>
      <c r="J236" s="77"/>
    </row>
    <row r="237" spans="2:11" ht="16.5" customHeight="1">
      <c r="B237" s="71">
        <v>17</v>
      </c>
      <c r="C237" s="68"/>
      <c r="D237" s="72" t="s">
        <v>295</v>
      </c>
      <c r="E237" s="69"/>
      <c r="F237" s="70"/>
      <c r="G237" s="73" t="str">
        <f>IFERROR(VLOOKUP(C237,'🧪 프렙 원가표'!$C$8:$D$18,2,0),IFERROR(VLOOKUP(C237,'🥬 식재료 DB'!$C$7:$H$121,6,0),""))</f>
        <v/>
      </c>
      <c r="H237" s="74" t="str">
        <f>IFERROR(IF(AND(C237&lt;&gt;"",ISNUMBER(E237),ISNUMBER(F237),F237&gt;0,ISNUMBER(G237)),E237/F237*G237,""),"")</f>
        <v/>
      </c>
      <c r="I237" s="63"/>
      <c r="J237" s="63"/>
    </row>
    <row r="238" spans="2:11" ht="3.75" customHeight="1">
      <c r="B238" s="78"/>
      <c r="C238" s="78"/>
      <c r="D238" s="78"/>
      <c r="E238" s="78"/>
      <c r="F238" s="78"/>
      <c r="G238" s="78"/>
      <c r="H238" s="78"/>
      <c r="I238" s="78"/>
      <c r="J238" s="78"/>
      <c r="K238" s="78"/>
    </row>
    <row r="239" spans="2:11" ht="27" customHeight="1">
      <c r="B239" s="50"/>
      <c r="C239" s="51" t="s">
        <v>314</v>
      </c>
      <c r="D239" s="50"/>
      <c r="E239" s="52">
        <v>15000</v>
      </c>
      <c r="F239" s="53">
        <f>IFERROR(SUM(H241,H242,H243,H244,H245,H246,H247,H248,H249,H250,H251,H252,H254,H255,H256,H257,H258),0)</f>
        <v>1093.3858618233617</v>
      </c>
      <c r="G239" s="54">
        <f>IFERROR(E239*'💰 고정비용 DB'!$D$22/'💰 고정비용 DB'!$D$25,0)</f>
        <v>9904.4559897012223</v>
      </c>
      <c r="H239" s="55">
        <f>IFERROR(G239-F239,"")</f>
        <v>8811.0701278778615</v>
      </c>
      <c r="I239" s="56">
        <f>IFERROR(H239/E239,"")</f>
        <v>0.58740467519185746</v>
      </c>
      <c r="J239" s="57" t="str">
        <f>IF(I239="","⬜ 미입력",IF(I239&lt;=0.2,"✅ 양호",IF(I239&lt;=0.32,"🟡 주의","🔴 과다")))</f>
        <v>🔴 과다</v>
      </c>
      <c r="K239" s="50"/>
    </row>
    <row r="240" spans="2:11" ht="12.75" customHeight="1">
      <c r="B240" s="204" t="s">
        <v>291</v>
      </c>
      <c r="C240" s="204"/>
      <c r="D240" s="204"/>
      <c r="E240" s="204"/>
      <c r="F240" s="204"/>
      <c r="G240" s="204"/>
      <c r="H240" s="204"/>
      <c r="I240" s="204"/>
      <c r="J240" s="204"/>
      <c r="K240" s="204"/>
    </row>
    <row r="241" spans="2:11" ht="16.5" customHeight="1">
      <c r="B241" s="58">
        <v>1</v>
      </c>
      <c r="C241" s="6" t="s">
        <v>196</v>
      </c>
      <c r="D241" s="59" t="s">
        <v>292</v>
      </c>
      <c r="E241" s="60">
        <v>100</v>
      </c>
      <c r="F241" s="61">
        <v>1</v>
      </c>
      <c r="G241" s="25">
        <f>IFERROR(VLOOKUP(C241,'🥬 식재료 DB'!$C$7:$H$121,6,0),"")</f>
        <v>4.8888888888888893</v>
      </c>
      <c r="H241" s="62">
        <f t="shared" ref="H241:H252" si="11">IFERROR(IF(AND(C241&lt;&gt;"",ISNUMBER(E241),ISNUMBER(F241),F241&gt;0,ISNUMBER(G241)),E241/F241*G241,""),"")</f>
        <v>488.88888888888891</v>
      </c>
      <c r="I241" s="63"/>
      <c r="J241" s="63"/>
    </row>
    <row r="242" spans="2:11" ht="16.5" customHeight="1">
      <c r="B242" s="58">
        <v>2</v>
      </c>
      <c r="C242" s="64" t="s">
        <v>168</v>
      </c>
      <c r="D242" s="59" t="s">
        <v>292</v>
      </c>
      <c r="E242" s="65">
        <v>5</v>
      </c>
      <c r="F242" s="66">
        <v>1</v>
      </c>
      <c r="G242" s="25">
        <f>IFERROR(VLOOKUP(C242,'🥬 식재료 DB'!$C$7:$H$121,6,0),"")</f>
        <v>1</v>
      </c>
      <c r="H242" s="62">
        <f t="shared" si="11"/>
        <v>5</v>
      </c>
      <c r="I242" s="67"/>
      <c r="J242" s="67"/>
    </row>
    <row r="243" spans="2:11" ht="16.5" customHeight="1">
      <c r="B243" s="58">
        <v>3</v>
      </c>
      <c r="C243" s="68"/>
      <c r="D243" s="59" t="s">
        <v>292</v>
      </c>
      <c r="E243" s="69"/>
      <c r="F243" s="70"/>
      <c r="G243" s="25" t="str">
        <f>IFERROR(VLOOKUP(C243,'🥬 식재료 DB'!$C$7:$H$121,6,0),"")</f>
        <v/>
      </c>
      <c r="H243" s="62" t="str">
        <f t="shared" si="11"/>
        <v/>
      </c>
      <c r="I243" s="63"/>
      <c r="J243" s="63"/>
    </row>
    <row r="244" spans="2:11" ht="16.5" customHeight="1">
      <c r="B244" s="58">
        <v>4</v>
      </c>
      <c r="C244" s="68"/>
      <c r="D244" s="59" t="s">
        <v>292</v>
      </c>
      <c r="E244" s="69"/>
      <c r="F244" s="70"/>
      <c r="G244" s="25" t="str">
        <f>IFERROR(VLOOKUP(C244,'🥬 식재료 DB'!$C$7:$H$121,6,0),"")</f>
        <v/>
      </c>
      <c r="H244" s="62" t="str">
        <f t="shared" si="11"/>
        <v/>
      </c>
      <c r="I244" s="67"/>
      <c r="J244" s="67"/>
    </row>
    <row r="245" spans="2:11" ht="16.5" customHeight="1">
      <c r="B245" s="58">
        <v>5</v>
      </c>
      <c r="C245" s="68"/>
      <c r="D245" s="59" t="s">
        <v>292</v>
      </c>
      <c r="E245" s="69"/>
      <c r="F245" s="70"/>
      <c r="G245" s="25" t="str">
        <f>IFERROR(VLOOKUP(C245,'🥬 식재료 DB'!$C$7:$H$121,6,0),"")</f>
        <v/>
      </c>
      <c r="H245" s="62" t="str">
        <f t="shared" si="11"/>
        <v/>
      </c>
      <c r="I245" s="63"/>
      <c r="J245" s="63"/>
    </row>
    <row r="246" spans="2:11" ht="16.5" customHeight="1">
      <c r="B246" s="58">
        <v>6</v>
      </c>
      <c r="C246" s="68"/>
      <c r="D246" s="59" t="s">
        <v>292</v>
      </c>
      <c r="E246" s="69"/>
      <c r="F246" s="70"/>
      <c r="G246" s="25" t="str">
        <f>IFERROR(VLOOKUP(C246,'🥬 식재료 DB'!$C$7:$H$121,6,0),"")</f>
        <v/>
      </c>
      <c r="H246" s="62" t="str">
        <f t="shared" si="11"/>
        <v/>
      </c>
      <c r="I246" s="67"/>
      <c r="J246" s="67"/>
    </row>
    <row r="247" spans="2:11" ht="16.5" customHeight="1">
      <c r="B247" s="58">
        <v>7</v>
      </c>
      <c r="C247" s="68"/>
      <c r="D247" s="59" t="s">
        <v>292</v>
      </c>
      <c r="E247" s="69"/>
      <c r="F247" s="70"/>
      <c r="G247" s="25" t="str">
        <f>IFERROR(VLOOKUP(C247,'🥬 식재료 DB'!$C$7:$H$121,6,0),"")</f>
        <v/>
      </c>
      <c r="H247" s="62" t="str">
        <f t="shared" si="11"/>
        <v/>
      </c>
      <c r="I247" s="63"/>
      <c r="J247" s="63"/>
    </row>
    <row r="248" spans="2:11" ht="16.5" customHeight="1">
      <c r="B248" s="58">
        <v>8</v>
      </c>
      <c r="C248" s="68"/>
      <c r="D248" s="59" t="s">
        <v>292</v>
      </c>
      <c r="E248" s="69"/>
      <c r="F248" s="70"/>
      <c r="G248" s="25" t="str">
        <f>IFERROR(VLOOKUP(C248,'🥬 식재료 DB'!$C$7:$H$121,6,0),"")</f>
        <v/>
      </c>
      <c r="H248" s="62" t="str">
        <f t="shared" si="11"/>
        <v/>
      </c>
      <c r="I248" s="67"/>
      <c r="J248" s="67"/>
    </row>
    <row r="249" spans="2:11" ht="16.5" customHeight="1">
      <c r="B249" s="58">
        <v>9</v>
      </c>
      <c r="C249" s="68"/>
      <c r="D249" s="59" t="s">
        <v>292</v>
      </c>
      <c r="E249" s="69"/>
      <c r="F249" s="70"/>
      <c r="G249" s="25" t="str">
        <f>IFERROR(VLOOKUP(C249,'🥬 식재료 DB'!$C$7:$H$121,6,0),"")</f>
        <v/>
      </c>
      <c r="H249" s="62" t="str">
        <f t="shared" si="11"/>
        <v/>
      </c>
      <c r="I249" s="63"/>
      <c r="J249" s="63"/>
    </row>
    <row r="250" spans="2:11" ht="16.5" customHeight="1">
      <c r="B250" s="58">
        <v>10</v>
      </c>
      <c r="C250" s="68"/>
      <c r="D250" s="59" t="s">
        <v>292</v>
      </c>
      <c r="E250" s="69"/>
      <c r="F250" s="70"/>
      <c r="G250" s="25" t="str">
        <f>IFERROR(VLOOKUP(C250,'🥬 식재료 DB'!$C$7:$H$121,6,0),"")</f>
        <v/>
      </c>
      <c r="H250" s="62" t="str">
        <f t="shared" si="11"/>
        <v/>
      </c>
      <c r="I250" s="67"/>
      <c r="J250" s="67"/>
    </row>
    <row r="251" spans="2:11" ht="16.5" customHeight="1">
      <c r="B251" s="58">
        <v>11</v>
      </c>
      <c r="C251" s="68"/>
      <c r="D251" s="59" t="s">
        <v>292</v>
      </c>
      <c r="E251" s="69"/>
      <c r="F251" s="70"/>
      <c r="G251" s="25" t="str">
        <f>IFERROR(VLOOKUP(C251,'🥬 식재료 DB'!$C$7:$H$121,6,0),"")</f>
        <v/>
      </c>
      <c r="H251" s="62" t="str">
        <f t="shared" si="11"/>
        <v/>
      </c>
      <c r="I251" s="63"/>
      <c r="J251" s="63"/>
    </row>
    <row r="252" spans="2:11" ht="16.5" customHeight="1">
      <c r="B252" s="58">
        <v>12</v>
      </c>
      <c r="C252" s="68"/>
      <c r="D252" s="59" t="s">
        <v>292</v>
      </c>
      <c r="E252" s="69"/>
      <c r="F252" s="70"/>
      <c r="G252" s="25" t="str">
        <f>IFERROR(VLOOKUP(C252,'🥬 식재료 DB'!$C$7:$H$121,6,0),"")</f>
        <v/>
      </c>
      <c r="H252" s="62" t="str">
        <f t="shared" si="11"/>
        <v/>
      </c>
      <c r="I252" s="67"/>
      <c r="J252" s="67"/>
    </row>
    <row r="253" spans="2:11" ht="12.75" customHeight="1">
      <c r="B253" s="203" t="s">
        <v>293</v>
      </c>
      <c r="C253" s="203"/>
      <c r="D253" s="203"/>
      <c r="E253" s="203"/>
      <c r="F253" s="203"/>
      <c r="G253" s="203"/>
      <c r="H253" s="203"/>
      <c r="I253" s="203"/>
      <c r="J253" s="203"/>
      <c r="K253" s="203"/>
    </row>
    <row r="254" spans="2:11" ht="16.5" customHeight="1">
      <c r="B254" s="71">
        <v>13</v>
      </c>
      <c r="C254" s="6" t="s">
        <v>294</v>
      </c>
      <c r="D254" s="72" t="s">
        <v>295</v>
      </c>
      <c r="E254" s="60">
        <v>200</v>
      </c>
      <c r="F254" s="61">
        <v>1</v>
      </c>
      <c r="G254" s="73">
        <f>IFERROR(VLOOKUP(C254,'🧪 프렙 원가표'!$C$8:$D$18,2,0),IFERROR(VLOOKUP(C254,'🥬 식재료 DB'!$C$7:$H$121,6,0),""))</f>
        <v>2.9176237535612533</v>
      </c>
      <c r="H254" s="74">
        <f>IFERROR(IF(AND(C254&lt;&gt;"",ISNUMBER(E254),ISNUMBER(F254),F254&gt;0,ISNUMBER(G254)),E254/F254*G254,""),"")</f>
        <v>583.52475071225069</v>
      </c>
      <c r="I254" s="63"/>
      <c r="J254" s="63"/>
    </row>
    <row r="255" spans="2:11" ht="16.5" customHeight="1">
      <c r="B255" s="71">
        <v>14</v>
      </c>
      <c r="C255" s="12" t="s">
        <v>312</v>
      </c>
      <c r="D255" s="72" t="s">
        <v>295</v>
      </c>
      <c r="E255" s="75">
        <v>10</v>
      </c>
      <c r="F255" s="76">
        <v>1</v>
      </c>
      <c r="G255" s="73">
        <f>IFERROR(VLOOKUP(C255,'🧪 프렙 원가표'!$C$8:$D$18,2,0),IFERROR(VLOOKUP(C255,'🥬 식재료 DB'!$C$7:$H$121,6,0),""))</f>
        <v>1.5972222222222221</v>
      </c>
      <c r="H255" s="74">
        <f>IFERROR(IF(AND(C255&lt;&gt;"",ISNUMBER(E255),ISNUMBER(F255),F255&gt;0,ISNUMBER(G255)),E255/F255*G255,""),"")</f>
        <v>15.972222222222221</v>
      </c>
      <c r="I255" s="77"/>
      <c r="J255" s="77"/>
    </row>
    <row r="256" spans="2:11" ht="16.5" customHeight="1">
      <c r="B256" s="71">
        <v>15</v>
      </c>
      <c r="C256" s="68"/>
      <c r="D256" s="72" t="s">
        <v>295</v>
      </c>
      <c r="E256" s="69"/>
      <c r="F256" s="70"/>
      <c r="G256" s="73" t="str">
        <f>IFERROR(VLOOKUP(C256,'🧪 프렙 원가표'!$C$8:$D$18,2,0),IFERROR(VLOOKUP(C256,'🥬 식재료 DB'!$C$7:$H$121,6,0),""))</f>
        <v/>
      </c>
      <c r="H256" s="74" t="str">
        <f>IFERROR(IF(AND(C256&lt;&gt;"",ISNUMBER(E256),ISNUMBER(F256),F256&gt;0,ISNUMBER(G256)),E256/F256*G256,""),"")</f>
        <v/>
      </c>
      <c r="I256" s="63"/>
      <c r="J256" s="63"/>
    </row>
    <row r="257" spans="2:11" ht="16.5" customHeight="1">
      <c r="B257" s="71">
        <v>16</v>
      </c>
      <c r="C257" s="68"/>
      <c r="D257" s="72" t="s">
        <v>295</v>
      </c>
      <c r="E257" s="69"/>
      <c r="F257" s="70"/>
      <c r="G257" s="73" t="str">
        <f>IFERROR(VLOOKUP(C257,'🧪 프렙 원가표'!$C$8:$D$18,2,0),IFERROR(VLOOKUP(C257,'🥬 식재료 DB'!$C$7:$H$121,6,0),""))</f>
        <v/>
      </c>
      <c r="H257" s="74" t="str">
        <f>IFERROR(IF(AND(C257&lt;&gt;"",ISNUMBER(E257),ISNUMBER(F257),F257&gt;0,ISNUMBER(G257)),E257/F257*G257,""),"")</f>
        <v/>
      </c>
      <c r="I257" s="77"/>
      <c r="J257" s="77"/>
    </row>
    <row r="258" spans="2:11" ht="16.5" customHeight="1">
      <c r="B258" s="71">
        <v>17</v>
      </c>
      <c r="C258" s="68"/>
      <c r="D258" s="72" t="s">
        <v>295</v>
      </c>
      <c r="E258" s="69"/>
      <c r="F258" s="70"/>
      <c r="G258" s="73" t="str">
        <f>IFERROR(VLOOKUP(C258,'🧪 프렙 원가표'!$C$8:$D$18,2,0),IFERROR(VLOOKUP(C258,'🥬 식재료 DB'!$C$7:$H$121,6,0),""))</f>
        <v/>
      </c>
      <c r="H258" s="74" t="str">
        <f>IFERROR(IF(AND(C258&lt;&gt;"",ISNUMBER(E258),ISNUMBER(F258),F258&gt;0,ISNUMBER(G258)),E258/F258*G258,""),"")</f>
        <v/>
      </c>
      <c r="I258" s="63"/>
      <c r="J258" s="63"/>
    </row>
    <row r="259" spans="2:11" ht="3.75" customHeight="1">
      <c r="B259" s="78"/>
      <c r="C259" s="78"/>
      <c r="D259" s="78"/>
      <c r="E259" s="78"/>
      <c r="F259" s="78"/>
      <c r="G259" s="78"/>
      <c r="H259" s="78"/>
      <c r="I259" s="78"/>
      <c r="J259" s="78"/>
      <c r="K259" s="78"/>
    </row>
    <row r="260" spans="2:11" ht="27" customHeight="1">
      <c r="B260" s="50"/>
      <c r="C260" s="51" t="s">
        <v>315</v>
      </c>
      <c r="D260" s="50"/>
      <c r="E260" s="52">
        <v>11000</v>
      </c>
      <c r="F260" s="53">
        <f>IFERROR(SUM(H262,H263,H264,H265,H266,H267,H268,H269,H270,H271,H272,H273,H274,H275,H276,H277,H279,H280,H281,H282,H283),0)</f>
        <v>1626.6905602636534</v>
      </c>
      <c r="G260" s="54">
        <f>IFERROR(E260*'💰 고정비용 DB'!$D$22/'💰 고정비용 DB'!$D$25,0)</f>
        <v>7263.2677257808964</v>
      </c>
      <c r="H260" s="55">
        <f>IFERROR(G260-F260,"")</f>
        <v>5636.577165517243</v>
      </c>
      <c r="I260" s="56">
        <f>IFERROR(H260/E260,"")</f>
        <v>0.51241610595611298</v>
      </c>
      <c r="J260" s="57" t="str">
        <f>IF(I260="","⬜ 미입력",IF(I260&lt;=0.2,"✅ 양호",IF(I260&lt;=0.32,"🟡 주의","🔴 과다")))</f>
        <v>🔴 과다</v>
      </c>
      <c r="K260" s="50"/>
    </row>
    <row r="261" spans="2:11" ht="12.75" customHeight="1">
      <c r="B261" s="204" t="s">
        <v>291</v>
      </c>
      <c r="C261" s="204"/>
      <c r="D261" s="204"/>
      <c r="E261" s="204"/>
      <c r="F261" s="204"/>
      <c r="G261" s="204"/>
      <c r="H261" s="204"/>
      <c r="I261" s="204"/>
      <c r="J261" s="204"/>
      <c r="K261" s="204"/>
    </row>
    <row r="262" spans="2:11" ht="16.5" customHeight="1">
      <c r="B262" s="58">
        <v>1</v>
      </c>
      <c r="C262" s="6" t="s">
        <v>316</v>
      </c>
      <c r="D262" s="59" t="s">
        <v>292</v>
      </c>
      <c r="E262" s="60">
        <v>250</v>
      </c>
      <c r="F262" s="61">
        <v>1</v>
      </c>
      <c r="G262" s="25" t="str">
        <f>IFERROR(VLOOKUP(C262,'🥬 식재료 DB'!$C$7:$H$121,6,0),"")</f>
        <v/>
      </c>
      <c r="H262" s="62" t="str">
        <f t="shared" ref="H262:H277" si="12">IFERROR(IF(AND(C262&lt;&gt;"",ISNUMBER(E262),ISNUMBER(F262),F262&gt;0,ISNUMBER(G262)),E262/F262*G262,""),"")</f>
        <v/>
      </c>
      <c r="I262" s="63"/>
      <c r="J262" s="63"/>
    </row>
    <row r="263" spans="2:11" ht="16.5" customHeight="1">
      <c r="B263" s="58">
        <v>2</v>
      </c>
      <c r="C263" s="64" t="s">
        <v>136</v>
      </c>
      <c r="D263" s="59" t="s">
        <v>292</v>
      </c>
      <c r="E263" s="65">
        <v>30</v>
      </c>
      <c r="F263" s="66">
        <v>1</v>
      </c>
      <c r="G263" s="25">
        <f>IFERROR(VLOOKUP(C263,'🥬 식재료 DB'!$C$7:$H$121,6,0),"")</f>
        <v>0.75</v>
      </c>
      <c r="H263" s="62">
        <f t="shared" si="12"/>
        <v>22.5</v>
      </c>
      <c r="I263" s="67"/>
      <c r="J263" s="67"/>
    </row>
    <row r="264" spans="2:11" ht="16.5" customHeight="1">
      <c r="B264" s="58">
        <v>3</v>
      </c>
      <c r="C264" s="6" t="s">
        <v>155</v>
      </c>
      <c r="D264" s="59" t="s">
        <v>292</v>
      </c>
      <c r="E264" s="60">
        <v>20</v>
      </c>
      <c r="F264" s="61">
        <v>1</v>
      </c>
      <c r="G264" s="25">
        <f>IFERROR(VLOOKUP(C264,'🥬 식재료 DB'!$C$7:$H$121,6,0),"")</f>
        <v>5</v>
      </c>
      <c r="H264" s="62">
        <f t="shared" si="12"/>
        <v>100</v>
      </c>
      <c r="I264" s="63"/>
      <c r="J264" s="63"/>
    </row>
    <row r="265" spans="2:11" ht="16.5" customHeight="1">
      <c r="B265" s="58">
        <v>4</v>
      </c>
      <c r="C265" s="64" t="s">
        <v>140</v>
      </c>
      <c r="D265" s="59" t="s">
        <v>292</v>
      </c>
      <c r="E265" s="65">
        <v>30</v>
      </c>
      <c r="F265" s="66">
        <v>1</v>
      </c>
      <c r="G265" s="25">
        <f>IFERROR(VLOOKUP(C265,'🥬 식재료 DB'!$C$7:$H$121,6,0),"")</f>
        <v>0.93333333333333335</v>
      </c>
      <c r="H265" s="62">
        <f t="shared" si="12"/>
        <v>28</v>
      </c>
      <c r="I265" s="67"/>
      <c r="J265" s="67"/>
    </row>
    <row r="266" spans="2:11" ht="16.5" customHeight="1">
      <c r="B266" s="58">
        <v>5</v>
      </c>
      <c r="C266" s="6" t="s">
        <v>223</v>
      </c>
      <c r="D266" s="59" t="s">
        <v>292</v>
      </c>
      <c r="E266" s="60">
        <v>50</v>
      </c>
      <c r="F266" s="61">
        <v>1</v>
      </c>
      <c r="G266" s="25">
        <f>IFERROR(VLOOKUP(C266,'🥬 식재료 DB'!$C$7:$H$121,6,0),"")</f>
        <v>10</v>
      </c>
      <c r="H266" s="62">
        <f t="shared" si="12"/>
        <v>500</v>
      </c>
      <c r="I266" s="63"/>
      <c r="J266" s="63"/>
    </row>
    <row r="267" spans="2:11" ht="16.5" customHeight="1">
      <c r="B267" s="58">
        <v>6</v>
      </c>
      <c r="C267" s="64" t="s">
        <v>236</v>
      </c>
      <c r="D267" s="59" t="s">
        <v>292</v>
      </c>
      <c r="E267" s="65">
        <v>20</v>
      </c>
      <c r="F267" s="66">
        <v>1</v>
      </c>
      <c r="G267" s="25">
        <f>IFERROR(VLOOKUP(C267,'🥬 식재료 DB'!$C$7:$H$121,6,0),"")</f>
        <v>14</v>
      </c>
      <c r="H267" s="62">
        <f t="shared" si="12"/>
        <v>280</v>
      </c>
      <c r="I267" s="67"/>
      <c r="J267" s="67"/>
    </row>
    <row r="268" spans="2:11" ht="16.5" customHeight="1">
      <c r="B268" s="58">
        <v>7</v>
      </c>
      <c r="C268" s="6" t="s">
        <v>167</v>
      </c>
      <c r="D268" s="59" t="s">
        <v>292</v>
      </c>
      <c r="E268" s="60">
        <v>15</v>
      </c>
      <c r="F268" s="61">
        <v>1</v>
      </c>
      <c r="G268" s="25">
        <f>IFERROR(VLOOKUP(C268,'🥬 식재료 DB'!$C$7:$H$121,6,0),"")</f>
        <v>3.0555555555555554</v>
      </c>
      <c r="H268" s="62">
        <f t="shared" si="12"/>
        <v>45.833333333333329</v>
      </c>
      <c r="I268" s="63"/>
      <c r="J268" s="63"/>
    </row>
    <row r="269" spans="2:11" ht="16.5" customHeight="1">
      <c r="B269" s="58">
        <v>8</v>
      </c>
      <c r="C269" s="64" t="s">
        <v>161</v>
      </c>
      <c r="D269" s="59" t="s">
        <v>292</v>
      </c>
      <c r="E269" s="65">
        <v>20</v>
      </c>
      <c r="F269" s="66">
        <v>1</v>
      </c>
      <c r="G269" s="25">
        <f>IFERROR(VLOOKUP(C269,'🥬 식재료 DB'!$C$7:$H$121,6,0),"")</f>
        <v>3.0508474576271185</v>
      </c>
      <c r="H269" s="62">
        <f t="shared" si="12"/>
        <v>61.016949152542367</v>
      </c>
      <c r="I269" s="67"/>
      <c r="J269" s="67"/>
    </row>
    <row r="270" spans="2:11" ht="16.5" customHeight="1">
      <c r="B270" s="58">
        <v>9</v>
      </c>
      <c r="C270" s="6" t="s">
        <v>145</v>
      </c>
      <c r="D270" s="59" t="s">
        <v>292</v>
      </c>
      <c r="E270" s="60">
        <v>20</v>
      </c>
      <c r="F270" s="61">
        <v>1</v>
      </c>
      <c r="G270" s="25">
        <f>IFERROR(VLOOKUP(C270,'🥬 식재료 DB'!$C$7:$H$121,6,0),"")</f>
        <v>14</v>
      </c>
      <c r="H270" s="62">
        <f t="shared" si="12"/>
        <v>280</v>
      </c>
      <c r="I270" s="63"/>
      <c r="J270" s="63"/>
    </row>
    <row r="271" spans="2:11" ht="16.5" customHeight="1">
      <c r="B271" s="58">
        <v>10</v>
      </c>
      <c r="C271" s="64" t="s">
        <v>159</v>
      </c>
      <c r="D271" s="59" t="s">
        <v>292</v>
      </c>
      <c r="E271" s="65">
        <v>20</v>
      </c>
      <c r="F271" s="66">
        <v>1</v>
      </c>
      <c r="G271" s="25">
        <f>IFERROR(VLOOKUP(C271,'🥬 식재료 DB'!$C$7:$H$121,6,0),"")</f>
        <v>2.078125</v>
      </c>
      <c r="H271" s="62">
        <f t="shared" si="12"/>
        <v>41.5625</v>
      </c>
      <c r="I271" s="67"/>
      <c r="J271" s="67"/>
    </row>
    <row r="272" spans="2:11" ht="16.5" customHeight="1">
      <c r="B272" s="58">
        <v>11</v>
      </c>
      <c r="C272" s="6" t="s">
        <v>171</v>
      </c>
      <c r="D272" s="59" t="s">
        <v>292</v>
      </c>
      <c r="E272" s="60">
        <v>10</v>
      </c>
      <c r="F272" s="61">
        <v>1</v>
      </c>
      <c r="G272" s="25">
        <f>IFERROR(VLOOKUP(C272,'🥬 식재료 DB'!$C$7:$H$121,6,0),"")</f>
        <v>1.9444444444444444</v>
      </c>
      <c r="H272" s="62">
        <f t="shared" si="12"/>
        <v>19.444444444444443</v>
      </c>
      <c r="I272" s="63"/>
      <c r="J272" s="63"/>
    </row>
    <row r="273" spans="2:11" ht="16.5" customHeight="1">
      <c r="B273" s="58">
        <v>12</v>
      </c>
      <c r="C273" s="64" t="s">
        <v>169</v>
      </c>
      <c r="D273" s="59" t="s">
        <v>292</v>
      </c>
      <c r="E273" s="65">
        <v>10</v>
      </c>
      <c r="F273" s="66">
        <v>1</v>
      </c>
      <c r="G273" s="25">
        <f>IFERROR(VLOOKUP(C273,'🥬 식재료 DB'!$C$7:$H$121,6,0),"")</f>
        <v>1.3333333333333333</v>
      </c>
      <c r="H273" s="62">
        <f t="shared" si="12"/>
        <v>13.333333333333332</v>
      </c>
      <c r="I273" s="67"/>
      <c r="J273" s="67"/>
    </row>
    <row r="274" spans="2:11" ht="16.5" customHeight="1">
      <c r="B274" s="58">
        <v>13</v>
      </c>
      <c r="C274" s="6" t="s">
        <v>144</v>
      </c>
      <c r="D274" s="59" t="s">
        <v>292</v>
      </c>
      <c r="E274" s="60">
        <v>20</v>
      </c>
      <c r="F274" s="61">
        <v>1</v>
      </c>
      <c r="G274" s="25">
        <f>IFERROR(VLOOKUP(C274,'🥬 식재료 DB'!$C$7:$H$121,6,0),"")</f>
        <v>9</v>
      </c>
      <c r="H274" s="62">
        <f t="shared" si="12"/>
        <v>180</v>
      </c>
      <c r="I274" s="63"/>
      <c r="J274" s="63"/>
    </row>
    <row r="275" spans="2:11" ht="16.5" customHeight="1">
      <c r="B275" s="58">
        <v>14</v>
      </c>
      <c r="C275" s="64" t="s">
        <v>191</v>
      </c>
      <c r="D275" s="59" t="s">
        <v>292</v>
      </c>
      <c r="E275" s="65">
        <v>20</v>
      </c>
      <c r="F275" s="66">
        <v>1</v>
      </c>
      <c r="G275" s="25">
        <f>IFERROR(VLOOKUP(C275,'🥬 식재료 DB'!$C$7:$H$121,6,0),"")</f>
        <v>2.75</v>
      </c>
      <c r="H275" s="62">
        <f t="shared" si="12"/>
        <v>55</v>
      </c>
      <c r="I275" s="67"/>
      <c r="J275" s="67"/>
    </row>
    <row r="276" spans="2:11" ht="16.5" customHeight="1">
      <c r="B276" s="58">
        <v>15</v>
      </c>
      <c r="C276" s="68"/>
      <c r="D276" s="59" t="s">
        <v>292</v>
      </c>
      <c r="E276" s="69"/>
      <c r="F276" s="70"/>
      <c r="G276" s="25" t="str">
        <f>IFERROR(VLOOKUP(C276,'🥬 식재료 DB'!$C$7:$H$121,6,0),"")</f>
        <v/>
      </c>
      <c r="H276" s="62" t="str">
        <f t="shared" si="12"/>
        <v/>
      </c>
      <c r="I276" s="63"/>
      <c r="J276" s="63"/>
    </row>
    <row r="277" spans="2:11" ht="16.5" customHeight="1">
      <c r="B277" s="58">
        <v>16</v>
      </c>
      <c r="C277" s="68"/>
      <c r="D277" s="59" t="s">
        <v>292</v>
      </c>
      <c r="E277" s="69"/>
      <c r="F277" s="70"/>
      <c r="G277" s="25" t="str">
        <f>IFERROR(VLOOKUP(C277,'🥬 식재료 DB'!$C$7:$H$121,6,0),"")</f>
        <v/>
      </c>
      <c r="H277" s="62" t="str">
        <f t="shared" si="12"/>
        <v/>
      </c>
      <c r="I277" s="67"/>
      <c r="J277" s="67"/>
    </row>
    <row r="278" spans="2:11" ht="12.75" customHeight="1">
      <c r="B278" s="203" t="s">
        <v>293</v>
      </c>
      <c r="C278" s="203"/>
      <c r="D278" s="203"/>
      <c r="E278" s="203"/>
      <c r="F278" s="203"/>
      <c r="G278" s="203"/>
      <c r="H278" s="203"/>
      <c r="I278" s="203"/>
      <c r="J278" s="203"/>
      <c r="K278" s="203"/>
    </row>
    <row r="279" spans="2:11" ht="16.5" customHeight="1">
      <c r="B279" s="71">
        <v>17</v>
      </c>
      <c r="C279" s="68"/>
      <c r="D279" s="72" t="s">
        <v>295</v>
      </c>
      <c r="E279" s="69"/>
      <c r="F279" s="70"/>
      <c r="G279" s="73" t="str">
        <f>IFERROR(VLOOKUP(C279,'🧪 프렙 원가표'!$C$8:$D$18,2,0),IFERROR(VLOOKUP(C279,'🥬 식재료 DB'!$C$7:$H$121,6,0),""))</f>
        <v/>
      </c>
      <c r="H279" s="74" t="str">
        <f>IFERROR(IF(AND(C279&lt;&gt;"",ISNUMBER(E279),ISNUMBER(F279),F279&gt;0,ISNUMBER(G279)),E279/F279*G279,""),"")</f>
        <v/>
      </c>
      <c r="I279" s="63"/>
      <c r="J279" s="63"/>
    </row>
    <row r="280" spans="2:11" ht="16.5" customHeight="1">
      <c r="B280" s="71">
        <v>18</v>
      </c>
      <c r="C280" s="68"/>
      <c r="D280" s="72" t="s">
        <v>295</v>
      </c>
      <c r="E280" s="69"/>
      <c r="F280" s="70"/>
      <c r="G280" s="73" t="str">
        <f>IFERROR(VLOOKUP(C280,'🧪 프렙 원가표'!$C$8:$D$18,2,0),IFERROR(VLOOKUP(C280,'🥬 식재료 DB'!$C$7:$H$121,6,0),""))</f>
        <v/>
      </c>
      <c r="H280" s="74" t="str">
        <f>IFERROR(IF(AND(C280&lt;&gt;"",ISNUMBER(E280),ISNUMBER(F280),F280&gt;0,ISNUMBER(G280)),E280/F280*G280,""),"")</f>
        <v/>
      </c>
      <c r="I280" s="77"/>
      <c r="J280" s="77"/>
    </row>
    <row r="281" spans="2:11" ht="16.5" customHeight="1">
      <c r="B281" s="71">
        <v>19</v>
      </c>
      <c r="C281" s="68"/>
      <c r="D281" s="72" t="s">
        <v>295</v>
      </c>
      <c r="E281" s="69"/>
      <c r="F281" s="70"/>
      <c r="G281" s="73" t="str">
        <f>IFERROR(VLOOKUP(C281,'🧪 프렙 원가표'!$C$8:$D$18,2,0),IFERROR(VLOOKUP(C281,'🥬 식재료 DB'!$C$7:$H$121,6,0),""))</f>
        <v/>
      </c>
      <c r="H281" s="74" t="str">
        <f>IFERROR(IF(AND(C281&lt;&gt;"",ISNUMBER(E281),ISNUMBER(F281),F281&gt;0,ISNUMBER(G281)),E281/F281*G281,""),"")</f>
        <v/>
      </c>
      <c r="I281" s="63"/>
      <c r="J281" s="63"/>
    </row>
    <row r="282" spans="2:11" ht="16.5" customHeight="1">
      <c r="B282" s="71">
        <v>20</v>
      </c>
      <c r="C282" s="68"/>
      <c r="D282" s="72" t="s">
        <v>295</v>
      </c>
      <c r="E282" s="69"/>
      <c r="F282" s="70"/>
      <c r="G282" s="73" t="str">
        <f>IFERROR(VLOOKUP(C282,'🧪 프렙 원가표'!$C$8:$D$18,2,0),IFERROR(VLOOKUP(C282,'🥬 식재료 DB'!$C$7:$H$121,6,0),""))</f>
        <v/>
      </c>
      <c r="H282" s="74" t="str">
        <f>IFERROR(IF(AND(C282&lt;&gt;"",ISNUMBER(E282),ISNUMBER(F282),F282&gt;0,ISNUMBER(G282)),E282/F282*G282,""),"")</f>
        <v/>
      </c>
      <c r="I282" s="77"/>
      <c r="J282" s="77"/>
    </row>
    <row r="283" spans="2:11" ht="16.5" customHeight="1">
      <c r="B283" s="71">
        <v>21</v>
      </c>
      <c r="C283" s="68"/>
      <c r="D283" s="72" t="s">
        <v>295</v>
      </c>
      <c r="E283" s="69"/>
      <c r="F283" s="70"/>
      <c r="G283" s="73" t="str">
        <f>IFERROR(VLOOKUP(C283,'🧪 프렙 원가표'!$C$8:$D$18,2,0),IFERROR(VLOOKUP(C283,'🥬 식재료 DB'!$C$7:$H$121,6,0),""))</f>
        <v/>
      </c>
      <c r="H283" s="74" t="str">
        <f>IFERROR(IF(AND(C283&lt;&gt;"",ISNUMBER(E283),ISNUMBER(F283),F283&gt;0,ISNUMBER(G283)),E283/F283*G283,""),"")</f>
        <v/>
      </c>
      <c r="I283" s="63"/>
      <c r="J283" s="63"/>
    </row>
    <row r="284" spans="2:11" ht="3.75" customHeight="1">
      <c r="B284" s="78"/>
      <c r="C284" s="78"/>
      <c r="D284" s="78"/>
      <c r="E284" s="78"/>
      <c r="F284" s="78"/>
      <c r="G284" s="78"/>
      <c r="H284" s="78"/>
      <c r="I284" s="78"/>
      <c r="J284" s="78"/>
      <c r="K284" s="78"/>
    </row>
    <row r="285" spans="2:11" ht="27" customHeight="1">
      <c r="B285" s="50"/>
      <c r="C285" s="51" t="s">
        <v>317</v>
      </c>
      <c r="D285" s="50"/>
      <c r="E285" s="52">
        <v>14000</v>
      </c>
      <c r="F285" s="53">
        <f>IFERROR(SUM(H287,H288,H289,H290,H291,H292,H293,H294,H295,H296,H297,H298,H300,H301,H302,H303,H304),0)</f>
        <v>1405.5174360848703</v>
      </c>
      <c r="G285" s="54">
        <f>IFERROR(E285*'💰 고정비용 DB'!$D$22/'💰 고정비용 DB'!$D$25,0)</f>
        <v>9244.158923721141</v>
      </c>
      <c r="H285" s="55">
        <f>IFERROR(G285-F285,"")</f>
        <v>7838.6414876362705</v>
      </c>
      <c r="I285" s="56">
        <f>IFERROR(H285/E285,"")</f>
        <v>0.55990296340259071</v>
      </c>
      <c r="J285" s="57" t="str">
        <f>IF(I285="","⬜ 미입력",IF(I285&lt;=0.2,"✅ 양호",IF(I285&lt;=0.32,"🟡 주의","🔴 과다")))</f>
        <v>🔴 과다</v>
      </c>
      <c r="K285" s="50"/>
    </row>
    <row r="286" spans="2:11" ht="12.75" customHeight="1">
      <c r="B286" s="204" t="s">
        <v>291</v>
      </c>
      <c r="C286" s="204"/>
      <c r="D286" s="204"/>
      <c r="E286" s="204"/>
      <c r="F286" s="204"/>
      <c r="G286" s="204"/>
      <c r="H286" s="204"/>
      <c r="I286" s="204"/>
      <c r="J286" s="204"/>
      <c r="K286" s="204"/>
    </row>
    <row r="287" spans="2:11" ht="16.5" customHeight="1">
      <c r="B287" s="58">
        <v>1</v>
      </c>
      <c r="C287" s="6" t="s">
        <v>198</v>
      </c>
      <c r="D287" s="59" t="s">
        <v>292</v>
      </c>
      <c r="E287" s="60">
        <v>100</v>
      </c>
      <c r="F287" s="61">
        <v>1</v>
      </c>
      <c r="G287" s="25">
        <f>IFERROR(VLOOKUP(C287,'🥬 식재료 DB'!$C$7:$H$121,6,0),"")</f>
        <v>4.4000000000000004</v>
      </c>
      <c r="H287" s="62">
        <f t="shared" ref="H287:H298" si="13">IFERROR(IF(AND(C287&lt;&gt;"",ISNUMBER(E287),ISNUMBER(F287),F287&gt;0,ISNUMBER(G287)),E287/F287*G287,""),"")</f>
        <v>440.00000000000006</v>
      </c>
      <c r="I287" s="63"/>
      <c r="J287" s="63"/>
    </row>
    <row r="288" spans="2:11" ht="16.5" customHeight="1">
      <c r="B288" s="58">
        <v>2</v>
      </c>
      <c r="C288" s="64" t="s">
        <v>168</v>
      </c>
      <c r="D288" s="59" t="s">
        <v>292</v>
      </c>
      <c r="E288" s="65">
        <v>15</v>
      </c>
      <c r="F288" s="66">
        <v>1</v>
      </c>
      <c r="G288" s="25">
        <f>IFERROR(VLOOKUP(C288,'🥬 식재료 DB'!$C$7:$H$121,6,0),"")</f>
        <v>1</v>
      </c>
      <c r="H288" s="62">
        <f t="shared" si="13"/>
        <v>15</v>
      </c>
      <c r="I288" s="67"/>
      <c r="J288" s="67"/>
    </row>
    <row r="289" spans="2:11" ht="16.5" customHeight="1">
      <c r="B289" s="58">
        <v>3</v>
      </c>
      <c r="C289" s="6" t="s">
        <v>215</v>
      </c>
      <c r="D289" s="59" t="s">
        <v>292</v>
      </c>
      <c r="E289" s="60">
        <v>30</v>
      </c>
      <c r="F289" s="61">
        <v>1</v>
      </c>
      <c r="G289" s="25">
        <f>IFERROR(VLOOKUP(C289,'🥬 식재료 DB'!$C$7:$H$121,6,0),"")</f>
        <v>4.25</v>
      </c>
      <c r="H289" s="62">
        <f t="shared" si="13"/>
        <v>127.5</v>
      </c>
      <c r="I289" s="63"/>
      <c r="J289" s="63"/>
    </row>
    <row r="290" spans="2:11" ht="16.5" customHeight="1">
      <c r="B290" s="58">
        <v>4</v>
      </c>
      <c r="C290" s="64" t="s">
        <v>222</v>
      </c>
      <c r="D290" s="59" t="s">
        <v>292</v>
      </c>
      <c r="E290" s="65">
        <v>10</v>
      </c>
      <c r="F290" s="66">
        <v>1</v>
      </c>
      <c r="G290" s="25">
        <f>IFERROR(VLOOKUP(C290,'🥬 식재료 DB'!$C$7:$H$121,6,0),"")</f>
        <v>3.2307692307692308</v>
      </c>
      <c r="H290" s="62">
        <f t="shared" si="13"/>
        <v>32.307692307692307</v>
      </c>
      <c r="I290" s="67"/>
      <c r="J290" s="67"/>
    </row>
    <row r="291" spans="2:11" ht="16.5" customHeight="1">
      <c r="B291" s="58">
        <v>5</v>
      </c>
      <c r="C291" s="6" t="s">
        <v>169</v>
      </c>
      <c r="D291" s="59" t="s">
        <v>292</v>
      </c>
      <c r="E291" s="60">
        <v>30</v>
      </c>
      <c r="F291" s="61">
        <v>1</v>
      </c>
      <c r="G291" s="25">
        <f>IFERROR(VLOOKUP(C291,'🥬 식재료 DB'!$C$7:$H$121,6,0),"")</f>
        <v>1.3333333333333333</v>
      </c>
      <c r="H291" s="62">
        <f t="shared" si="13"/>
        <v>40</v>
      </c>
      <c r="I291" s="63"/>
      <c r="J291" s="63"/>
    </row>
    <row r="292" spans="2:11" ht="16.5" customHeight="1">
      <c r="B292" s="58">
        <v>6</v>
      </c>
      <c r="C292" s="64" t="s">
        <v>206</v>
      </c>
      <c r="D292" s="59" t="s">
        <v>292</v>
      </c>
      <c r="E292" s="65">
        <v>10</v>
      </c>
      <c r="F292" s="66">
        <v>1</v>
      </c>
      <c r="G292" s="25">
        <f>IFERROR(VLOOKUP(C292,'🥬 식재료 DB'!$C$7:$H$121,6,0),"")</f>
        <v>12.894736842105264</v>
      </c>
      <c r="H292" s="62">
        <f t="shared" si="13"/>
        <v>128.94736842105263</v>
      </c>
      <c r="I292" s="67"/>
      <c r="J292" s="67"/>
    </row>
    <row r="293" spans="2:11" ht="16.5" customHeight="1">
      <c r="B293" s="58">
        <v>7</v>
      </c>
      <c r="C293" s="68"/>
      <c r="D293" s="59" t="s">
        <v>292</v>
      </c>
      <c r="E293" s="69"/>
      <c r="F293" s="70"/>
      <c r="G293" s="25" t="str">
        <f>IFERROR(VLOOKUP(C293,'🥬 식재료 DB'!$C$7:$H$121,6,0),"")</f>
        <v/>
      </c>
      <c r="H293" s="62" t="str">
        <f t="shared" si="13"/>
        <v/>
      </c>
      <c r="I293" s="63"/>
      <c r="J293" s="63"/>
    </row>
    <row r="294" spans="2:11" ht="16.5" customHeight="1">
      <c r="B294" s="58">
        <v>8</v>
      </c>
      <c r="C294" s="68"/>
      <c r="D294" s="59" t="s">
        <v>292</v>
      </c>
      <c r="E294" s="69"/>
      <c r="F294" s="70"/>
      <c r="G294" s="25" t="str">
        <f>IFERROR(VLOOKUP(C294,'🥬 식재료 DB'!$C$7:$H$121,6,0),"")</f>
        <v/>
      </c>
      <c r="H294" s="62" t="str">
        <f t="shared" si="13"/>
        <v/>
      </c>
      <c r="I294" s="67"/>
      <c r="J294" s="67"/>
    </row>
    <row r="295" spans="2:11" ht="16.5" customHeight="1">
      <c r="B295" s="58">
        <v>9</v>
      </c>
      <c r="C295" s="68"/>
      <c r="D295" s="59" t="s">
        <v>292</v>
      </c>
      <c r="E295" s="69"/>
      <c r="F295" s="70"/>
      <c r="G295" s="25" t="str">
        <f>IFERROR(VLOOKUP(C295,'🥬 식재료 DB'!$C$7:$H$121,6,0),"")</f>
        <v/>
      </c>
      <c r="H295" s="62" t="str">
        <f t="shared" si="13"/>
        <v/>
      </c>
      <c r="I295" s="63"/>
      <c r="J295" s="63"/>
    </row>
    <row r="296" spans="2:11" ht="16.5" customHeight="1">
      <c r="B296" s="58">
        <v>10</v>
      </c>
      <c r="C296" s="68"/>
      <c r="D296" s="59" t="s">
        <v>292</v>
      </c>
      <c r="E296" s="69"/>
      <c r="F296" s="70"/>
      <c r="G296" s="25" t="str">
        <f>IFERROR(VLOOKUP(C296,'🥬 식재료 DB'!$C$7:$H$121,6,0),"")</f>
        <v/>
      </c>
      <c r="H296" s="62" t="str">
        <f t="shared" si="13"/>
        <v/>
      </c>
      <c r="I296" s="67"/>
      <c r="J296" s="67"/>
    </row>
    <row r="297" spans="2:11" ht="16.5" customHeight="1">
      <c r="B297" s="58">
        <v>11</v>
      </c>
      <c r="C297" s="68"/>
      <c r="D297" s="59" t="s">
        <v>292</v>
      </c>
      <c r="E297" s="69"/>
      <c r="F297" s="70"/>
      <c r="G297" s="25" t="str">
        <f>IFERROR(VLOOKUP(C297,'🥬 식재료 DB'!$C$7:$H$121,6,0),"")</f>
        <v/>
      </c>
      <c r="H297" s="62" t="str">
        <f t="shared" si="13"/>
        <v/>
      </c>
      <c r="I297" s="63"/>
      <c r="J297" s="63"/>
    </row>
    <row r="298" spans="2:11" ht="16.5" customHeight="1">
      <c r="B298" s="58">
        <v>12</v>
      </c>
      <c r="C298" s="68"/>
      <c r="D298" s="59" t="s">
        <v>292</v>
      </c>
      <c r="E298" s="69"/>
      <c r="F298" s="70"/>
      <c r="G298" s="25" t="str">
        <f>IFERROR(VLOOKUP(C298,'🥬 식재료 DB'!$C$7:$H$121,6,0),"")</f>
        <v/>
      </c>
      <c r="H298" s="62" t="str">
        <f t="shared" si="13"/>
        <v/>
      </c>
      <c r="I298" s="67"/>
      <c r="J298" s="67"/>
    </row>
    <row r="299" spans="2:11" ht="12.75" customHeight="1">
      <c r="B299" s="203" t="s">
        <v>293</v>
      </c>
      <c r="C299" s="203"/>
      <c r="D299" s="203"/>
      <c r="E299" s="203"/>
      <c r="F299" s="203"/>
      <c r="G299" s="203"/>
      <c r="H299" s="203"/>
      <c r="I299" s="203"/>
      <c r="J299" s="203"/>
      <c r="K299" s="203"/>
    </row>
    <row r="300" spans="2:11" ht="16.5" customHeight="1">
      <c r="B300" s="71">
        <v>13</v>
      </c>
      <c r="C300" s="6" t="s">
        <v>294</v>
      </c>
      <c r="D300" s="72" t="s">
        <v>295</v>
      </c>
      <c r="E300" s="60">
        <v>100</v>
      </c>
      <c r="F300" s="61">
        <v>1</v>
      </c>
      <c r="G300" s="73">
        <f>IFERROR(VLOOKUP(C300,'🧪 프렙 원가표'!$C$8:$D$18,2,0),IFERROR(VLOOKUP(C300,'🥬 식재료 DB'!$C$7:$H$121,6,0),""))</f>
        <v>2.9176237535612533</v>
      </c>
      <c r="H300" s="74">
        <f>IFERROR(IF(AND(C300&lt;&gt;"",ISNUMBER(E300),ISNUMBER(F300),F300&gt;0,ISNUMBER(G300)),E300/F300*G300,""),"")</f>
        <v>291.76237535612535</v>
      </c>
      <c r="I300" s="63"/>
      <c r="J300" s="63"/>
    </row>
    <row r="301" spans="2:11" ht="16.5" customHeight="1">
      <c r="B301" s="71">
        <v>14</v>
      </c>
      <c r="C301" s="12" t="s">
        <v>296</v>
      </c>
      <c r="D301" s="72" t="s">
        <v>295</v>
      </c>
      <c r="E301" s="75">
        <v>30</v>
      </c>
      <c r="F301" s="76">
        <v>1</v>
      </c>
      <c r="G301" s="73">
        <f>IFERROR(VLOOKUP(C301,'🧪 프렙 원가표'!$C$8:$D$18,2,0),IFERROR(VLOOKUP(C301,'🥬 식재료 DB'!$C$7:$H$121,6,0),""))</f>
        <v>11</v>
      </c>
      <c r="H301" s="74">
        <f>IFERROR(IF(AND(C301&lt;&gt;"",ISNUMBER(E301),ISNUMBER(F301),F301&gt;0,ISNUMBER(G301)),E301/F301*G301,""),"")</f>
        <v>330</v>
      </c>
      <c r="I301" s="77"/>
      <c r="J301" s="77"/>
    </row>
    <row r="302" spans="2:11" ht="16.5" customHeight="1">
      <c r="B302" s="71">
        <v>15</v>
      </c>
      <c r="C302" s="68"/>
      <c r="D302" s="72" t="s">
        <v>295</v>
      </c>
      <c r="E302" s="69"/>
      <c r="F302" s="70"/>
      <c r="G302" s="73" t="str">
        <f>IFERROR(VLOOKUP(C302,'🧪 프렙 원가표'!$C$8:$D$18,2,0),IFERROR(VLOOKUP(C302,'🥬 식재료 DB'!$C$7:$H$121,6,0),""))</f>
        <v/>
      </c>
      <c r="H302" s="74" t="str">
        <f>IFERROR(IF(AND(C302&lt;&gt;"",ISNUMBER(E302),ISNUMBER(F302),F302&gt;0,ISNUMBER(G302)),E302/F302*G302,""),"")</f>
        <v/>
      </c>
      <c r="I302" s="63"/>
      <c r="J302" s="63"/>
    </row>
    <row r="303" spans="2:11" ht="16.5" customHeight="1">
      <c r="B303" s="71">
        <v>16</v>
      </c>
      <c r="C303" s="68"/>
      <c r="D303" s="72" t="s">
        <v>295</v>
      </c>
      <c r="E303" s="69"/>
      <c r="F303" s="70"/>
      <c r="G303" s="73" t="str">
        <f>IFERROR(VLOOKUP(C303,'🧪 프렙 원가표'!$C$8:$D$18,2,0),IFERROR(VLOOKUP(C303,'🥬 식재료 DB'!$C$7:$H$121,6,0),""))</f>
        <v/>
      </c>
      <c r="H303" s="74" t="str">
        <f>IFERROR(IF(AND(C303&lt;&gt;"",ISNUMBER(E303),ISNUMBER(F303),F303&gt;0,ISNUMBER(G303)),E303/F303*G303,""),"")</f>
        <v/>
      </c>
      <c r="I303" s="77"/>
      <c r="J303" s="77"/>
    </row>
    <row r="304" spans="2:11" ht="16.5" customHeight="1">
      <c r="B304" s="71">
        <v>17</v>
      </c>
      <c r="C304" s="68"/>
      <c r="D304" s="72" t="s">
        <v>295</v>
      </c>
      <c r="E304" s="69"/>
      <c r="F304" s="70"/>
      <c r="G304" s="73" t="str">
        <f>IFERROR(VLOOKUP(C304,'🧪 프렙 원가표'!$C$8:$D$18,2,0),IFERROR(VLOOKUP(C304,'🥬 식재료 DB'!$C$7:$H$121,6,0),""))</f>
        <v/>
      </c>
      <c r="H304" s="74" t="str">
        <f>IFERROR(IF(AND(C304&lt;&gt;"",ISNUMBER(E304),ISNUMBER(F304),F304&gt;0,ISNUMBER(G304)),E304/F304*G304,""),"")</f>
        <v/>
      </c>
      <c r="I304" s="63"/>
      <c r="J304" s="63"/>
    </row>
    <row r="305" spans="2:11" ht="3.75" customHeight="1">
      <c r="B305" s="78"/>
      <c r="C305" s="78"/>
      <c r="D305" s="78"/>
      <c r="E305" s="78"/>
      <c r="F305" s="78"/>
      <c r="G305" s="78"/>
      <c r="H305" s="78"/>
      <c r="I305" s="78"/>
      <c r="J305" s="78"/>
      <c r="K305" s="78"/>
    </row>
  </sheetData>
  <mergeCells count="31">
    <mergeCell ref="B2:K2"/>
    <mergeCell ref="B4:K4"/>
    <mergeCell ref="B5:K5"/>
    <mergeCell ref="B9:K9"/>
    <mergeCell ref="B22:K22"/>
    <mergeCell ref="B30:K30"/>
    <mergeCell ref="B43:K43"/>
    <mergeCell ref="B51:K51"/>
    <mergeCell ref="B64:K64"/>
    <mergeCell ref="B72:K72"/>
    <mergeCell ref="B85:K85"/>
    <mergeCell ref="B93:K93"/>
    <mergeCell ref="B106:K106"/>
    <mergeCell ref="B114:K114"/>
    <mergeCell ref="B127:K127"/>
    <mergeCell ref="B135:K135"/>
    <mergeCell ref="B148:K148"/>
    <mergeCell ref="B156:K156"/>
    <mergeCell ref="B169:K169"/>
    <mergeCell ref="B177:K177"/>
    <mergeCell ref="B190:K190"/>
    <mergeCell ref="B198:K198"/>
    <mergeCell ref="B211:K211"/>
    <mergeCell ref="B219:K219"/>
    <mergeCell ref="B232:K232"/>
    <mergeCell ref="B299:K299"/>
    <mergeCell ref="B240:K240"/>
    <mergeCell ref="B253:K253"/>
    <mergeCell ref="B261:K261"/>
    <mergeCell ref="B278:K278"/>
    <mergeCell ref="B286:K286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3200"/>
  </sheetPr>
  <dimension ref="A1:K154"/>
  <sheetViews>
    <sheetView showGridLines="0" zoomScaleNormal="100" workbookViewId="0">
      <pane xSplit="2" ySplit="7" topLeftCell="C122" activePane="bottomRight" state="frozen"/>
      <selection pane="topRight" activeCell="C1" sqref="C1"/>
      <selection pane="bottomLeft" activeCell="A8" sqref="A8"/>
      <selection pane="bottomRight" activeCell="H134" sqref="H134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07" t="s">
        <v>318</v>
      </c>
      <c r="C2" s="207"/>
      <c r="D2" s="207"/>
      <c r="E2" s="207"/>
      <c r="F2" s="207"/>
      <c r="G2" s="207"/>
      <c r="H2" s="207"/>
      <c r="I2" s="207"/>
      <c r="J2" s="207"/>
      <c r="K2" s="207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80" t="s">
        <v>6</v>
      </c>
      <c r="C7" s="81" t="s">
        <v>130</v>
      </c>
      <c r="D7" s="81" t="s">
        <v>284</v>
      </c>
      <c r="E7" s="81" t="s">
        <v>285</v>
      </c>
      <c r="F7" s="81" t="s">
        <v>286</v>
      </c>
      <c r="G7" s="80" t="s">
        <v>287</v>
      </c>
      <c r="H7" s="81" t="s">
        <v>288</v>
      </c>
      <c r="I7" s="81" t="s">
        <v>289</v>
      </c>
    </row>
    <row r="8" spans="2:11" ht="27" customHeight="1">
      <c r="B8" s="50"/>
      <c r="C8" s="51" t="s">
        <v>319</v>
      </c>
      <c r="D8" s="50"/>
      <c r="E8" s="52">
        <v>13000</v>
      </c>
      <c r="F8" s="53">
        <f>IFERROR(SUM(H10,H11,H12,H13,H14,H15,H16,H17,H18,H19,H20,H21,H23,H24,H25,H26,H27),0)</f>
        <v>1868.0247507122508</v>
      </c>
      <c r="G8" s="54">
        <f>IFERROR(E8*'💰 고정비용 DB'!$D$22/'💰 고정비용 DB'!$D$25,0)</f>
        <v>8583.8618577410598</v>
      </c>
      <c r="H8" s="55">
        <f>IFERROR(G8-F8,"")</f>
        <v>6715.8371070288085</v>
      </c>
      <c r="I8" s="56">
        <f>IFERROR(H8/E8,"")</f>
        <v>0.5166028543868314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202</v>
      </c>
      <c r="D10" s="59" t="s">
        <v>292</v>
      </c>
      <c r="E10" s="60">
        <v>50</v>
      </c>
      <c r="F10" s="61">
        <v>1</v>
      </c>
      <c r="G10" s="25">
        <f>IFERROR(VLOOKUP(C10,'🥬 식재료 DB'!$C$7:$H$121,6,0),"")</f>
        <v>15</v>
      </c>
      <c r="H10" s="62">
        <f t="shared" ref="H10:H21" si="0">IFERROR(IF(AND(C10&lt;&gt;"",ISNUMBER(E10),ISNUMBER(F10),F10&gt;0,ISNUMBER(G10)),E10/F10*G10,""),"")</f>
        <v>750</v>
      </c>
      <c r="I10" s="63"/>
      <c r="J10" s="63"/>
    </row>
    <row r="11" spans="2:11" ht="16.5" customHeight="1">
      <c r="B11" s="58">
        <v>2</v>
      </c>
      <c r="C11" s="82" t="s">
        <v>224</v>
      </c>
      <c r="D11" s="59" t="s">
        <v>292</v>
      </c>
      <c r="E11" s="83">
        <v>2</v>
      </c>
      <c r="F11" s="84">
        <v>1</v>
      </c>
      <c r="G11" s="25">
        <f>IFERROR(VLOOKUP(C11,'🥬 식재료 DB'!$C$7:$H$121,6,0),"")</f>
        <v>18</v>
      </c>
      <c r="H11" s="62">
        <f t="shared" si="0"/>
        <v>36</v>
      </c>
      <c r="I11" s="85"/>
      <c r="J11" s="85"/>
    </row>
    <row r="12" spans="2:11" ht="16.5" customHeight="1">
      <c r="B12" s="58">
        <v>3</v>
      </c>
      <c r="C12" s="6" t="s">
        <v>158</v>
      </c>
      <c r="D12" s="59" t="s">
        <v>292</v>
      </c>
      <c r="E12" s="60">
        <v>15</v>
      </c>
      <c r="F12" s="61">
        <v>1</v>
      </c>
      <c r="G12" s="25">
        <f>IFERROR(VLOOKUP(C12,'🥬 식재료 DB'!$C$7:$H$121,6,0),"")</f>
        <v>2.4</v>
      </c>
      <c r="H12" s="62">
        <f t="shared" si="0"/>
        <v>36</v>
      </c>
      <c r="I12" s="63"/>
      <c r="J12" s="63"/>
    </row>
    <row r="13" spans="2:11" ht="16.5" customHeight="1">
      <c r="B13" s="58">
        <v>4</v>
      </c>
      <c r="C13" s="82" t="s">
        <v>168</v>
      </c>
      <c r="D13" s="59" t="s">
        <v>292</v>
      </c>
      <c r="E13" s="83">
        <v>5</v>
      </c>
      <c r="F13" s="84">
        <v>1</v>
      </c>
      <c r="G13" s="25">
        <f>IFERROR(VLOOKUP(C13,'🥬 식재료 DB'!$C$7:$H$121,6,0),"")</f>
        <v>1</v>
      </c>
      <c r="H13" s="62">
        <f t="shared" si="0"/>
        <v>5</v>
      </c>
      <c r="I13" s="85"/>
      <c r="J13" s="85"/>
    </row>
    <row r="14" spans="2:11" ht="16.5" customHeight="1">
      <c r="B14" s="58">
        <v>5</v>
      </c>
      <c r="C14" s="6" t="s">
        <v>215</v>
      </c>
      <c r="D14" s="59" t="s">
        <v>292</v>
      </c>
      <c r="E14" s="60">
        <v>30</v>
      </c>
      <c r="F14" s="61">
        <v>1</v>
      </c>
      <c r="G14" s="25">
        <f>IFERROR(VLOOKUP(C14,'🥬 식재료 DB'!$C$7:$H$121,6,0),"")</f>
        <v>4.25</v>
      </c>
      <c r="H14" s="62">
        <f t="shared" si="0"/>
        <v>127.5</v>
      </c>
      <c r="I14" s="63"/>
      <c r="J14" s="63"/>
    </row>
    <row r="15" spans="2:11" ht="16.5" customHeight="1">
      <c r="B15" s="58">
        <v>6</v>
      </c>
      <c r="C15" s="68"/>
      <c r="D15" s="59" t="s">
        <v>292</v>
      </c>
      <c r="E15" s="69"/>
      <c r="F15" s="70"/>
      <c r="G15" s="25" t="str">
        <f>IFERROR(VLOOKUP(C15,'🥬 식재료 DB'!$C$7:$H$121,6,0),"")</f>
        <v/>
      </c>
      <c r="H15" s="62" t="str">
        <f t="shared" si="0"/>
        <v/>
      </c>
      <c r="I15" s="85"/>
      <c r="J15" s="85"/>
    </row>
    <row r="16" spans="2:11" ht="16.5" customHeight="1">
      <c r="B16" s="58">
        <v>7</v>
      </c>
      <c r="C16" s="68"/>
      <c r="D16" s="59" t="s">
        <v>292</v>
      </c>
      <c r="E16" s="69"/>
      <c r="F16" s="70"/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68"/>
      <c r="D17" s="59" t="s">
        <v>292</v>
      </c>
      <c r="E17" s="69"/>
      <c r="F17" s="70"/>
      <c r="G17" s="25" t="str">
        <f>IFERROR(VLOOKUP(C17,'🥬 식재료 DB'!$C$7:$H$121,6,0),"")</f>
        <v/>
      </c>
      <c r="H17" s="62" t="str">
        <f t="shared" si="0"/>
        <v/>
      </c>
      <c r="I17" s="85"/>
      <c r="J17" s="85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85"/>
      <c r="J19" s="85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85"/>
      <c r="J21" s="85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" t="s">
        <v>294</v>
      </c>
      <c r="D23" s="72" t="s">
        <v>295</v>
      </c>
      <c r="E23" s="60">
        <v>200</v>
      </c>
      <c r="F23" s="61">
        <v>1</v>
      </c>
      <c r="G23" s="73">
        <f>IFERROR(VLOOKUP(C23,'🧪 프렙 원가표'!$C$8:$D$18,2,0),IFERROR(VLOOKUP(C23,'🥬 식재료 DB'!$C$7:$H$121,6,0),""))</f>
        <v>2.9176237535612533</v>
      </c>
      <c r="H23" s="74">
        <f>IFERROR(IF(AND(C23&lt;&gt;"",ISNUMBER(E23),ISNUMBER(F23),F23&gt;0,ISNUMBER(G23)),E23/F23*G23,""),"")</f>
        <v>583.52475071225069</v>
      </c>
      <c r="I23" s="63"/>
      <c r="J23" s="63"/>
    </row>
    <row r="24" spans="2:11" ht="16.5" customHeight="1">
      <c r="B24" s="71">
        <v>14</v>
      </c>
      <c r="C24" s="12" t="s">
        <v>296</v>
      </c>
      <c r="D24" s="72" t="s">
        <v>295</v>
      </c>
      <c r="E24" s="75">
        <v>30</v>
      </c>
      <c r="F24" s="76">
        <v>1</v>
      </c>
      <c r="G24" s="73">
        <f>IFERROR(VLOOKUP(C24,'🧪 프렙 원가표'!$C$8:$D$18,2,0),IFERROR(VLOOKUP(C24,'🥬 식재료 DB'!$C$7:$H$121,6,0),""))</f>
        <v>11</v>
      </c>
      <c r="H24" s="74">
        <f>IFERROR(IF(AND(C24&lt;&gt;"",ISNUMBER(E24),ISNUMBER(F24),F24&gt;0,ISNUMBER(G24)),E24/F24*G24,""),"")</f>
        <v>330</v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320</v>
      </c>
      <c r="D29" s="50"/>
      <c r="E29" s="52">
        <v>14000</v>
      </c>
      <c r="F29" s="53">
        <f>IFERROR(SUM(H31,H32,H33,H34,H35,H36,H37,H38,H39,H40,H41,H42,H44,H45,H46,H47,H48),0)</f>
        <v>2135.3997507122508</v>
      </c>
      <c r="G29" s="54">
        <f>IFERROR(E29*'💰 고정비용 DB'!$D$22/'💰 고정비용 DB'!$D$25,0)</f>
        <v>9244.158923721141</v>
      </c>
      <c r="H29" s="55">
        <f>IFERROR(G29-F29,"")</f>
        <v>7108.7591730088898</v>
      </c>
      <c r="I29" s="56">
        <f>IFERROR(H29/E29,"")</f>
        <v>0.50776851235777787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202</v>
      </c>
      <c r="D31" s="59" t="s">
        <v>292</v>
      </c>
      <c r="E31" s="60">
        <v>50</v>
      </c>
      <c r="F31" s="61">
        <v>1</v>
      </c>
      <c r="G31" s="25">
        <f>IFERROR(VLOOKUP(C31,'🥬 식재료 DB'!$C$7:$H$121,6,0),"")</f>
        <v>15</v>
      </c>
      <c r="H31" s="62">
        <f t="shared" ref="H31:H42" si="1">IFERROR(IF(AND(C31&lt;&gt;"",ISNUMBER(E31),ISNUMBER(F31),F31&gt;0,ISNUMBER(G31)),E31/F31*G31,""),"")</f>
        <v>750</v>
      </c>
      <c r="I31" s="63"/>
      <c r="J31" s="63"/>
    </row>
    <row r="32" spans="2:11" ht="16.5" customHeight="1">
      <c r="B32" s="58">
        <v>2</v>
      </c>
      <c r="C32" s="82" t="s">
        <v>236</v>
      </c>
      <c r="D32" s="59" t="s">
        <v>292</v>
      </c>
      <c r="E32" s="83">
        <v>15</v>
      </c>
      <c r="F32" s="84">
        <v>1</v>
      </c>
      <c r="G32" s="25">
        <f>IFERROR(VLOOKUP(C32,'🥬 식재료 DB'!$C$7:$H$121,6,0),"")</f>
        <v>14</v>
      </c>
      <c r="H32" s="62">
        <f t="shared" si="1"/>
        <v>210</v>
      </c>
      <c r="I32" s="85"/>
      <c r="J32" s="85"/>
    </row>
    <row r="33" spans="2:11" ht="16.5" customHeight="1">
      <c r="B33" s="58">
        <v>3</v>
      </c>
      <c r="C33" s="6" t="s">
        <v>168</v>
      </c>
      <c r="D33" s="59" t="s">
        <v>292</v>
      </c>
      <c r="E33" s="60">
        <v>5</v>
      </c>
      <c r="F33" s="61">
        <v>1</v>
      </c>
      <c r="G33" s="25">
        <f>IFERROR(VLOOKUP(C33,'🥬 식재료 DB'!$C$7:$H$121,6,0),"")</f>
        <v>1</v>
      </c>
      <c r="H33" s="62">
        <f t="shared" si="1"/>
        <v>5</v>
      </c>
      <c r="I33" s="63"/>
      <c r="J33" s="63"/>
    </row>
    <row r="34" spans="2:11" ht="16.5" customHeight="1">
      <c r="B34" s="58">
        <v>4</v>
      </c>
      <c r="C34" s="82" t="s">
        <v>227</v>
      </c>
      <c r="D34" s="59" t="s">
        <v>292</v>
      </c>
      <c r="E34" s="83">
        <v>15</v>
      </c>
      <c r="F34" s="84">
        <v>1</v>
      </c>
      <c r="G34" s="25">
        <f>IFERROR(VLOOKUP(C34,'🥬 식재료 DB'!$C$7:$H$121,6,0),"")</f>
        <v>6</v>
      </c>
      <c r="H34" s="62">
        <f t="shared" si="1"/>
        <v>90</v>
      </c>
      <c r="I34" s="85"/>
      <c r="J34" s="85"/>
    </row>
    <row r="35" spans="2:11" ht="16.5" customHeight="1">
      <c r="B35" s="58">
        <v>5</v>
      </c>
      <c r="C35" s="6" t="s">
        <v>215</v>
      </c>
      <c r="D35" s="59" t="s">
        <v>292</v>
      </c>
      <c r="E35" s="60">
        <v>30</v>
      </c>
      <c r="F35" s="61">
        <v>1</v>
      </c>
      <c r="G35" s="25">
        <f>IFERROR(VLOOKUP(C35,'🥬 식재료 DB'!$C$7:$H$121,6,0),"")</f>
        <v>4.25</v>
      </c>
      <c r="H35" s="62">
        <f t="shared" si="1"/>
        <v>127.5</v>
      </c>
      <c r="I35" s="63"/>
      <c r="J35" s="63"/>
    </row>
    <row r="36" spans="2:11" ht="16.5" customHeight="1">
      <c r="B36" s="58">
        <v>6</v>
      </c>
      <c r="C36" s="82" t="s">
        <v>150</v>
      </c>
      <c r="D36" s="59" t="s">
        <v>292</v>
      </c>
      <c r="E36" s="83">
        <v>15</v>
      </c>
      <c r="F36" s="84">
        <v>1</v>
      </c>
      <c r="G36" s="25">
        <f>IFERROR(VLOOKUP(C36,'🥬 식재료 DB'!$C$7:$H$121,6,0),"")</f>
        <v>2.625</v>
      </c>
      <c r="H36" s="62">
        <f t="shared" si="1"/>
        <v>39.375</v>
      </c>
      <c r="I36" s="85"/>
      <c r="J36" s="85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85"/>
      <c r="J38" s="85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85"/>
      <c r="J40" s="85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85"/>
      <c r="J42" s="85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" t="s">
        <v>294</v>
      </c>
      <c r="D44" s="72" t="s">
        <v>295</v>
      </c>
      <c r="E44" s="60">
        <v>200</v>
      </c>
      <c r="F44" s="61">
        <v>1</v>
      </c>
      <c r="G44" s="73">
        <f>IFERROR(VLOOKUP(C44,'🧪 프렙 원가표'!$C$8:$D$18,2,0),IFERROR(VLOOKUP(C44,'🥬 식재료 DB'!$C$7:$H$121,6,0),""))</f>
        <v>2.9176237535612533</v>
      </c>
      <c r="H44" s="74">
        <f>IFERROR(IF(AND(C44&lt;&gt;"",ISNUMBER(E44),ISNUMBER(F44),F44&gt;0,ISNUMBER(G44)),E44/F44*G44,""),"")</f>
        <v>583.52475071225069</v>
      </c>
      <c r="I44" s="63"/>
      <c r="J44" s="63"/>
    </row>
    <row r="45" spans="2:11" ht="16.5" customHeight="1">
      <c r="B45" s="71">
        <v>14</v>
      </c>
      <c r="C45" s="12" t="s">
        <v>296</v>
      </c>
      <c r="D45" s="72" t="s">
        <v>295</v>
      </c>
      <c r="E45" s="75">
        <v>30</v>
      </c>
      <c r="F45" s="76">
        <v>1</v>
      </c>
      <c r="G45" s="73">
        <f>IFERROR(VLOOKUP(C45,'🧪 프렙 원가표'!$C$8:$D$18,2,0),IFERROR(VLOOKUP(C45,'🥬 식재료 DB'!$C$7:$H$121,6,0),""))</f>
        <v>11</v>
      </c>
      <c r="H45" s="74">
        <f>IFERROR(IF(AND(C45&lt;&gt;"",ISNUMBER(E45),ISNUMBER(F45),F45&gt;0,ISNUMBER(G45)),E45/F45*G45,""),"")</f>
        <v>330</v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321</v>
      </c>
      <c r="D50" s="50"/>
      <c r="E50" s="52">
        <v>14000</v>
      </c>
      <c r="F50" s="53">
        <f>IFERROR(SUM(H52,H53,H54,H55,H56,H57,H58,H59,H60,H61,H62,H63,H65,H66,H67,H68,H69),0)</f>
        <v>1366.5247507122508</v>
      </c>
      <c r="G50" s="54">
        <f>IFERROR(E50*'💰 고정비용 DB'!$D$22/'💰 고정비용 DB'!$D$25,0)</f>
        <v>9244.158923721141</v>
      </c>
      <c r="H50" s="55">
        <f>IFERROR(G50-F50,"")</f>
        <v>7877.6341730088898</v>
      </c>
      <c r="I50" s="56">
        <f>IFERROR(H50/E50,"")</f>
        <v>0.56268815521492066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202</v>
      </c>
      <c r="D52" s="59" t="s">
        <v>292</v>
      </c>
      <c r="E52" s="60">
        <v>50</v>
      </c>
      <c r="F52" s="61">
        <v>1</v>
      </c>
      <c r="G52" s="25">
        <f>IFERROR(VLOOKUP(C52,'🥬 식재료 DB'!$C$7:$H$121,6,0),"")</f>
        <v>15</v>
      </c>
      <c r="H52" s="62">
        <f t="shared" ref="H52:H63" si="2">IFERROR(IF(AND(C52&lt;&gt;"",ISNUMBER(E52),ISNUMBER(F52),F52&gt;0,ISNUMBER(G52)),E52/F52*G52,""),"")</f>
        <v>750</v>
      </c>
      <c r="I52" s="63"/>
      <c r="J52" s="63"/>
    </row>
    <row r="53" spans="2:11" ht="16.5" customHeight="1">
      <c r="B53" s="58">
        <v>2</v>
      </c>
      <c r="C53" s="82" t="s">
        <v>168</v>
      </c>
      <c r="D53" s="59" t="s">
        <v>292</v>
      </c>
      <c r="E53" s="83">
        <v>5</v>
      </c>
      <c r="F53" s="84">
        <v>1</v>
      </c>
      <c r="G53" s="25">
        <f>IFERROR(VLOOKUP(C53,'🥬 식재료 DB'!$C$7:$H$121,6,0),"")</f>
        <v>1</v>
      </c>
      <c r="H53" s="62">
        <f t="shared" si="2"/>
        <v>5</v>
      </c>
      <c r="I53" s="85"/>
      <c r="J53" s="85"/>
    </row>
    <row r="54" spans="2:11" ht="16.5" customHeight="1">
      <c r="B54" s="58">
        <v>3</v>
      </c>
      <c r="C54" s="6" t="s">
        <v>140</v>
      </c>
      <c r="D54" s="59" t="s">
        <v>292</v>
      </c>
      <c r="E54" s="60">
        <v>30</v>
      </c>
      <c r="F54" s="61">
        <v>1</v>
      </c>
      <c r="G54" s="25">
        <f>IFERROR(VLOOKUP(C54,'🥬 식재료 DB'!$C$7:$H$121,6,0),"")</f>
        <v>0.93333333333333335</v>
      </c>
      <c r="H54" s="62">
        <f t="shared" si="2"/>
        <v>28</v>
      </c>
      <c r="I54" s="63"/>
      <c r="J54" s="63"/>
    </row>
    <row r="55" spans="2:11" ht="16.5" customHeight="1">
      <c r="B55" s="58">
        <v>4</v>
      </c>
      <c r="C55" s="68"/>
      <c r="D55" s="59" t="s">
        <v>292</v>
      </c>
      <c r="E55" s="69"/>
      <c r="F55" s="70"/>
      <c r="G55" s="25" t="str">
        <f>IFERROR(VLOOKUP(C55,'🥬 식재료 DB'!$C$7:$H$121,6,0),"")</f>
        <v/>
      </c>
      <c r="H55" s="62" t="str">
        <f t="shared" si="2"/>
        <v/>
      </c>
      <c r="I55" s="85"/>
      <c r="J55" s="85"/>
    </row>
    <row r="56" spans="2:11" ht="16.5" customHeight="1">
      <c r="B56" s="58">
        <v>5</v>
      </c>
      <c r="C56" s="68"/>
      <c r="D56" s="59" t="s">
        <v>292</v>
      </c>
      <c r="E56" s="69"/>
      <c r="F56" s="70"/>
      <c r="G56" s="25" t="str">
        <f>IFERROR(VLOOKUP(C56,'🥬 식재료 DB'!$C$7:$H$121,6,0),"")</f>
        <v/>
      </c>
      <c r="H56" s="62" t="str">
        <f t="shared" si="2"/>
        <v/>
      </c>
      <c r="I56" s="63"/>
      <c r="J56" s="63"/>
    </row>
    <row r="57" spans="2:11" ht="16.5" customHeight="1">
      <c r="B57" s="58">
        <v>6</v>
      </c>
      <c r="C57" s="68"/>
      <c r="D57" s="59" t="s">
        <v>292</v>
      </c>
      <c r="E57" s="69"/>
      <c r="F57" s="70"/>
      <c r="G57" s="25" t="str">
        <f>IFERROR(VLOOKUP(C57,'🥬 식재료 DB'!$C$7:$H$121,6,0),"")</f>
        <v/>
      </c>
      <c r="H57" s="62" t="str">
        <f t="shared" si="2"/>
        <v/>
      </c>
      <c r="I57" s="85"/>
      <c r="J57" s="85"/>
    </row>
    <row r="58" spans="2:11" ht="16.5" customHeight="1">
      <c r="B58" s="58">
        <v>7</v>
      </c>
      <c r="C58" s="68"/>
      <c r="D58" s="59" t="s">
        <v>292</v>
      </c>
      <c r="E58" s="69"/>
      <c r="F58" s="70"/>
      <c r="G58" s="25" t="str">
        <f>IFERROR(VLOOKUP(C58,'🥬 식재료 DB'!$C$7:$H$121,6,0),"")</f>
        <v/>
      </c>
      <c r="H58" s="62" t="str">
        <f t="shared" si="2"/>
        <v/>
      </c>
      <c r="I58" s="63"/>
      <c r="J58" s="63"/>
    </row>
    <row r="59" spans="2:11" ht="16.5" customHeight="1">
      <c r="B59" s="58">
        <v>8</v>
      </c>
      <c r="C59" s="68"/>
      <c r="D59" s="59" t="s">
        <v>292</v>
      </c>
      <c r="E59" s="69"/>
      <c r="F59" s="70"/>
      <c r="G59" s="25" t="str">
        <f>IFERROR(VLOOKUP(C59,'🥬 식재료 DB'!$C$7:$H$121,6,0),"")</f>
        <v/>
      </c>
      <c r="H59" s="62" t="str">
        <f t="shared" si="2"/>
        <v/>
      </c>
      <c r="I59" s="85"/>
      <c r="J59" s="85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85"/>
      <c r="J61" s="85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85"/>
      <c r="J63" s="85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" t="s">
        <v>294</v>
      </c>
      <c r="D65" s="72" t="s">
        <v>295</v>
      </c>
      <c r="E65" s="60">
        <v>200</v>
      </c>
      <c r="F65" s="61">
        <v>1</v>
      </c>
      <c r="G65" s="73">
        <f>IFERROR(VLOOKUP(C65,'🧪 프렙 원가표'!$C$8:$D$18,2,0),IFERROR(VLOOKUP(C65,'🥬 식재료 DB'!$C$7:$H$121,6,0),""))</f>
        <v>2.9176237535612533</v>
      </c>
      <c r="H65" s="74">
        <f>IFERROR(IF(AND(C65&lt;&gt;"",ISNUMBER(E65),ISNUMBER(F65),F65&gt;0,ISNUMBER(G65)),E65/F65*G65,""),"")</f>
        <v>583.52475071225069</v>
      </c>
      <c r="I65" s="63"/>
      <c r="J65" s="63"/>
    </row>
    <row r="66" spans="2:11" ht="16.5" customHeight="1">
      <c r="B66" s="71">
        <v>14</v>
      </c>
      <c r="C66" s="68"/>
      <c r="D66" s="72" t="s">
        <v>295</v>
      </c>
      <c r="E66" s="69"/>
      <c r="F66" s="70"/>
      <c r="G66" s="73" t="str">
        <f>IFERROR(VLOOKUP(C66,'🧪 프렙 원가표'!$C$8:$D$18,2,0),IFERROR(VLOOKUP(C66,'🥬 식재료 DB'!$C$7:$H$121,6,0),""))</f>
        <v/>
      </c>
      <c r="H66" s="74" t="str">
        <f>IFERROR(IF(AND(C66&lt;&gt;"",ISNUMBER(E66),ISNUMBER(F66),F66&gt;0,ISNUMBER(G66)),E66/F66*G66,""),"")</f>
        <v/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322</v>
      </c>
      <c r="D71" s="50"/>
      <c r="E71" s="52">
        <v>14000</v>
      </c>
      <c r="F71" s="53">
        <f>IFERROR(SUM(H73,H74,H75,H76,H77,H78,H79,H80,H81,H82,H83,H84,H86,H87,H88,H89,H90),0)</f>
        <v>1381.0247507122508</v>
      </c>
      <c r="G71" s="54">
        <f>IFERROR(E71*'💰 고정비용 DB'!$D$22/'💰 고정비용 DB'!$D$25,0)</f>
        <v>9244.158923721141</v>
      </c>
      <c r="H71" s="55">
        <f>IFERROR(G71-F71,"")</f>
        <v>7863.1341730088898</v>
      </c>
      <c r="I71" s="56">
        <f>IFERROR(H71/E71,"")</f>
        <v>0.56165244092920641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202</v>
      </c>
      <c r="D73" s="59" t="s">
        <v>292</v>
      </c>
      <c r="E73" s="60">
        <v>50</v>
      </c>
      <c r="F73" s="61">
        <v>1</v>
      </c>
      <c r="G73" s="25">
        <f>IFERROR(VLOOKUP(C73,'🥬 식재료 DB'!$C$7:$H$121,6,0),"")</f>
        <v>15</v>
      </c>
      <c r="H73" s="62">
        <f t="shared" ref="H73:H84" si="3">IFERROR(IF(AND(C73&lt;&gt;"",ISNUMBER(E73),ISNUMBER(F73),F73&gt;0,ISNUMBER(G73)),E73/F73*G73,""),"")</f>
        <v>750</v>
      </c>
      <c r="I73" s="63"/>
      <c r="J73" s="63"/>
    </row>
    <row r="74" spans="2:11" ht="16.5" customHeight="1">
      <c r="B74" s="58">
        <v>2</v>
      </c>
      <c r="C74" s="82" t="s">
        <v>168</v>
      </c>
      <c r="D74" s="59" t="s">
        <v>292</v>
      </c>
      <c r="E74" s="83">
        <v>5</v>
      </c>
      <c r="F74" s="84">
        <v>1</v>
      </c>
      <c r="G74" s="25">
        <f>IFERROR(VLOOKUP(C74,'🥬 식재료 DB'!$C$7:$H$121,6,0),"")</f>
        <v>1</v>
      </c>
      <c r="H74" s="62">
        <f t="shared" si="3"/>
        <v>5</v>
      </c>
      <c r="I74" s="85"/>
      <c r="J74" s="85"/>
    </row>
    <row r="75" spans="2:11" ht="16.5" customHeight="1">
      <c r="B75" s="58">
        <v>3</v>
      </c>
      <c r="C75" s="6" t="s">
        <v>215</v>
      </c>
      <c r="D75" s="59" t="s">
        <v>292</v>
      </c>
      <c r="E75" s="60">
        <v>10</v>
      </c>
      <c r="F75" s="61">
        <v>1</v>
      </c>
      <c r="G75" s="25">
        <f>IFERROR(VLOOKUP(C75,'🥬 식재료 DB'!$C$7:$H$121,6,0),"")</f>
        <v>4.25</v>
      </c>
      <c r="H75" s="62">
        <f t="shared" si="3"/>
        <v>42.5</v>
      </c>
      <c r="I75" s="63"/>
      <c r="J75" s="63"/>
    </row>
    <row r="76" spans="2:11" ht="16.5" customHeight="1">
      <c r="B76" s="58">
        <v>4</v>
      </c>
      <c r="C76" s="68"/>
      <c r="D76" s="59" t="s">
        <v>292</v>
      </c>
      <c r="E76" s="69"/>
      <c r="F76" s="70"/>
      <c r="G76" s="25" t="str">
        <f>IFERROR(VLOOKUP(C76,'🥬 식재료 DB'!$C$7:$H$121,6,0),"")</f>
        <v/>
      </c>
      <c r="H76" s="62" t="str">
        <f t="shared" si="3"/>
        <v/>
      </c>
      <c r="I76" s="85"/>
      <c r="J76" s="85"/>
    </row>
    <row r="77" spans="2:11" ht="16.5" customHeight="1">
      <c r="B77" s="58">
        <v>5</v>
      </c>
      <c r="C77" s="68"/>
      <c r="D77" s="59" t="s">
        <v>292</v>
      </c>
      <c r="E77" s="69"/>
      <c r="F77" s="70"/>
      <c r="G77" s="25" t="str">
        <f>IFERROR(VLOOKUP(C77,'🥬 식재료 DB'!$C$7:$H$121,6,0),"")</f>
        <v/>
      </c>
      <c r="H77" s="62" t="str">
        <f t="shared" si="3"/>
        <v/>
      </c>
      <c r="I77" s="63"/>
      <c r="J77" s="63"/>
    </row>
    <row r="78" spans="2:11" ht="16.5" customHeight="1">
      <c r="B78" s="58">
        <v>6</v>
      </c>
      <c r="C78" s="68"/>
      <c r="D78" s="59" t="s">
        <v>292</v>
      </c>
      <c r="E78" s="69"/>
      <c r="F78" s="70"/>
      <c r="G78" s="25" t="str">
        <f>IFERROR(VLOOKUP(C78,'🥬 식재료 DB'!$C$7:$H$121,6,0),"")</f>
        <v/>
      </c>
      <c r="H78" s="62" t="str">
        <f t="shared" si="3"/>
        <v/>
      </c>
      <c r="I78" s="85"/>
      <c r="J78" s="85"/>
    </row>
    <row r="79" spans="2:11" ht="16.5" customHeight="1">
      <c r="B79" s="58">
        <v>7</v>
      </c>
      <c r="C79" s="68"/>
      <c r="D79" s="59" t="s">
        <v>292</v>
      </c>
      <c r="E79" s="69"/>
      <c r="F79" s="70"/>
      <c r="G79" s="25" t="str">
        <f>IFERROR(VLOOKUP(C79,'🥬 식재료 DB'!$C$7:$H$121,6,0),"")</f>
        <v/>
      </c>
      <c r="H79" s="62" t="str">
        <f t="shared" si="3"/>
        <v/>
      </c>
      <c r="I79" s="63"/>
      <c r="J79" s="63"/>
    </row>
    <row r="80" spans="2:11" ht="16.5" customHeight="1">
      <c r="B80" s="58">
        <v>8</v>
      </c>
      <c r="C80" s="68"/>
      <c r="D80" s="59" t="s">
        <v>292</v>
      </c>
      <c r="E80" s="69"/>
      <c r="F80" s="70"/>
      <c r="G80" s="25" t="str">
        <f>IFERROR(VLOOKUP(C80,'🥬 식재료 DB'!$C$7:$H$121,6,0),"")</f>
        <v/>
      </c>
      <c r="H80" s="62" t="str">
        <f t="shared" si="3"/>
        <v/>
      </c>
      <c r="I80" s="85"/>
      <c r="J80" s="85"/>
    </row>
    <row r="81" spans="2:11" ht="16.5" customHeight="1">
      <c r="B81" s="58">
        <v>9</v>
      </c>
      <c r="C81" s="68"/>
      <c r="D81" s="59" t="s">
        <v>292</v>
      </c>
      <c r="E81" s="69"/>
      <c r="F81" s="70"/>
      <c r="G81" s="25" t="str">
        <f>IFERROR(VLOOKUP(C81,'🥬 식재료 DB'!$C$7:$H$121,6,0),"")</f>
        <v/>
      </c>
      <c r="H81" s="62" t="str">
        <f t="shared" si="3"/>
        <v/>
      </c>
      <c r="I81" s="63"/>
      <c r="J81" s="63"/>
    </row>
    <row r="82" spans="2:11" ht="16.5" customHeight="1">
      <c r="B82" s="58">
        <v>10</v>
      </c>
      <c r="C82" s="68"/>
      <c r="D82" s="59" t="s">
        <v>292</v>
      </c>
      <c r="E82" s="69"/>
      <c r="F82" s="70"/>
      <c r="G82" s="25" t="str">
        <f>IFERROR(VLOOKUP(C82,'🥬 식재료 DB'!$C$7:$H$121,6,0),"")</f>
        <v/>
      </c>
      <c r="H82" s="62" t="str">
        <f t="shared" si="3"/>
        <v/>
      </c>
      <c r="I82" s="85"/>
      <c r="J82" s="85"/>
    </row>
    <row r="83" spans="2:11" ht="16.5" customHeight="1">
      <c r="B83" s="58">
        <v>11</v>
      </c>
      <c r="C83" s="68"/>
      <c r="D83" s="59" t="s">
        <v>292</v>
      </c>
      <c r="E83" s="69"/>
      <c r="F83" s="70"/>
      <c r="G83" s="25" t="str">
        <f>IFERROR(VLOOKUP(C83,'🥬 식재료 DB'!$C$7:$H$121,6,0),"")</f>
        <v/>
      </c>
      <c r="H83" s="62" t="str">
        <f t="shared" si="3"/>
        <v/>
      </c>
      <c r="I83" s="63"/>
      <c r="J83" s="63"/>
    </row>
    <row r="84" spans="2:11" ht="16.5" customHeight="1">
      <c r="B84" s="58">
        <v>12</v>
      </c>
      <c r="C84" s="68"/>
      <c r="D84" s="59" t="s">
        <v>292</v>
      </c>
      <c r="E84" s="69"/>
      <c r="F84" s="70"/>
      <c r="G84" s="25" t="str">
        <f>IFERROR(VLOOKUP(C84,'🥬 식재료 DB'!$C$7:$H$121,6,0),"")</f>
        <v/>
      </c>
      <c r="H84" s="62" t="str">
        <f t="shared" si="3"/>
        <v/>
      </c>
      <c r="I84" s="85"/>
      <c r="J84" s="85"/>
    </row>
    <row r="85" spans="2:11" ht="12.75" customHeight="1">
      <c r="B85" s="203" t="s">
        <v>293</v>
      </c>
      <c r="C85" s="203"/>
      <c r="D85" s="203"/>
      <c r="E85" s="203"/>
      <c r="F85" s="203"/>
      <c r="G85" s="203"/>
      <c r="H85" s="203"/>
      <c r="I85" s="203"/>
      <c r="J85" s="203"/>
      <c r="K85" s="203"/>
    </row>
    <row r="86" spans="2:11" ht="16.5" customHeight="1">
      <c r="B86" s="71">
        <v>13</v>
      </c>
      <c r="C86" s="6" t="s">
        <v>294</v>
      </c>
      <c r="D86" s="72" t="s">
        <v>295</v>
      </c>
      <c r="E86" s="60">
        <v>200</v>
      </c>
      <c r="F86" s="61">
        <v>1</v>
      </c>
      <c r="G86" s="73">
        <f>IFERROR(VLOOKUP(C86,'🧪 프렙 원가표'!$C$8:$D$18,2,0),IFERROR(VLOOKUP(C86,'🥬 식재료 DB'!$C$7:$H$121,6,0),""))</f>
        <v>2.9176237535612533</v>
      </c>
      <c r="H86" s="74">
        <f>IFERROR(IF(AND(C86&lt;&gt;"",ISNUMBER(E86),ISNUMBER(F86),F86&gt;0,ISNUMBER(G86)),E86/F86*G86,""),"")</f>
        <v>583.52475071225069</v>
      </c>
      <c r="I86" s="63"/>
      <c r="J86" s="63"/>
    </row>
    <row r="87" spans="2:11" ht="16.5" customHeight="1">
      <c r="B87" s="71">
        <v>14</v>
      </c>
      <c r="C87" s="68"/>
      <c r="D87" s="72" t="s">
        <v>295</v>
      </c>
      <c r="E87" s="69"/>
      <c r="F87" s="70"/>
      <c r="G87" s="73" t="str">
        <f>IFERROR(VLOOKUP(C87,'🧪 프렙 원가표'!$C$8:$D$18,2,0),IFERROR(VLOOKUP(C87,'🥬 식재료 DB'!$C$7:$H$121,6,0),""))</f>
        <v/>
      </c>
      <c r="H87" s="74" t="str">
        <f>IFERROR(IF(AND(C87&lt;&gt;"",ISNUMBER(E87),ISNUMBER(F87),F87&gt;0,ISNUMBER(G87)),E87/F87*G87,""),"")</f>
        <v/>
      </c>
      <c r="I87" s="77"/>
      <c r="J87" s="77"/>
    </row>
    <row r="88" spans="2:11" ht="16.5" customHeight="1">
      <c r="B88" s="71">
        <v>15</v>
      </c>
      <c r="C88" s="68"/>
      <c r="D88" s="72" t="s">
        <v>295</v>
      </c>
      <c r="E88" s="69"/>
      <c r="F88" s="70"/>
      <c r="G88" s="73" t="str">
        <f>IFERROR(VLOOKUP(C88,'🧪 프렙 원가표'!$C$8:$D$18,2,0),IFERROR(VLOOKUP(C88,'🥬 식재료 DB'!$C$7:$H$121,6,0),""))</f>
        <v/>
      </c>
      <c r="H88" s="74" t="str">
        <f>IFERROR(IF(AND(C88&lt;&gt;"",ISNUMBER(E88),ISNUMBER(F88),F88&gt;0,ISNUMBER(G88)),E88/F88*G88,""),"")</f>
        <v/>
      </c>
      <c r="I88" s="63"/>
      <c r="J88" s="63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77"/>
      <c r="J89" s="77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63"/>
      <c r="J90" s="63"/>
    </row>
    <row r="91" spans="2:11" ht="3.75" customHeight="1">
      <c r="B91" s="78"/>
      <c r="C91" s="78"/>
      <c r="D91" s="78"/>
      <c r="E91" s="78"/>
      <c r="F91" s="78"/>
      <c r="G91" s="78"/>
      <c r="H91" s="78"/>
      <c r="I91" s="78"/>
      <c r="J91" s="78"/>
      <c r="K91" s="78"/>
    </row>
    <row r="92" spans="2:11" ht="27" customHeight="1">
      <c r="B92" s="50"/>
      <c r="C92" s="51" t="s">
        <v>323</v>
      </c>
      <c r="D92" s="50"/>
      <c r="E92" s="52">
        <v>15000</v>
      </c>
      <c r="F92" s="53">
        <f>IFERROR(SUM(H94,H95,H96,H97,H98,H99,H100,H101,H102,H103,H104,H105,H107,H108,H109,H110,H111),0)</f>
        <v>2297.4136396011395</v>
      </c>
      <c r="G92" s="54">
        <f>IFERROR(E92*'💰 고정비용 DB'!$D$22/'💰 고정비용 DB'!$D$25,0)</f>
        <v>9904.4559897012223</v>
      </c>
      <c r="H92" s="55">
        <f>IFERROR(G92-F92,"")</f>
        <v>7607.0423501000823</v>
      </c>
      <c r="I92" s="56">
        <f>IFERROR(H92/E92,"")</f>
        <v>0.50713615667333878</v>
      </c>
      <c r="J92" s="57" t="str">
        <f>IF(I92="","⬜ 미입력",IF(I92&lt;=0.2,"✅ 양호",IF(I92&lt;=0.32,"🟡 주의","🔴 과다")))</f>
        <v>🔴 과다</v>
      </c>
      <c r="K92" s="50"/>
    </row>
    <row r="93" spans="2:11" ht="12.75" customHeight="1">
      <c r="B93" s="204" t="s">
        <v>291</v>
      </c>
      <c r="C93" s="204"/>
      <c r="D93" s="204"/>
      <c r="E93" s="204"/>
      <c r="F93" s="204"/>
      <c r="G93" s="204"/>
      <c r="H93" s="204"/>
      <c r="I93" s="204"/>
      <c r="J93" s="204"/>
      <c r="K93" s="204"/>
    </row>
    <row r="94" spans="2:11" ht="16.5" customHeight="1">
      <c r="B94" s="58">
        <v>1</v>
      </c>
      <c r="C94" s="6" t="s">
        <v>202</v>
      </c>
      <c r="D94" s="59" t="s">
        <v>292</v>
      </c>
      <c r="E94" s="60">
        <v>50</v>
      </c>
      <c r="F94" s="61">
        <v>1</v>
      </c>
      <c r="G94" s="25">
        <f>IFERROR(VLOOKUP(C94,'🥬 식재료 DB'!$C$7:$H$121,6,0),"")</f>
        <v>15</v>
      </c>
      <c r="H94" s="62">
        <f t="shared" ref="H94:H105" si="4">IFERROR(IF(AND(C94&lt;&gt;"",ISNUMBER(E94),ISNUMBER(F94),F94&gt;0,ISNUMBER(G94)),E94/F94*G94,""),"")</f>
        <v>750</v>
      </c>
      <c r="I94" s="63"/>
      <c r="J94" s="63"/>
    </row>
    <row r="95" spans="2:11" ht="16.5" customHeight="1">
      <c r="B95" s="58">
        <v>2</v>
      </c>
      <c r="C95" s="82" t="s">
        <v>145</v>
      </c>
      <c r="D95" s="59" t="s">
        <v>292</v>
      </c>
      <c r="E95" s="83">
        <v>10</v>
      </c>
      <c r="F95" s="84">
        <v>1</v>
      </c>
      <c r="G95" s="25">
        <f>IFERROR(VLOOKUP(C95,'🥬 식재료 DB'!$C$7:$H$121,6,0),"")</f>
        <v>14</v>
      </c>
      <c r="H95" s="62">
        <f t="shared" si="4"/>
        <v>140</v>
      </c>
      <c r="I95" s="85"/>
      <c r="J95" s="85"/>
    </row>
    <row r="96" spans="2:11" ht="16.5" customHeight="1">
      <c r="B96" s="58">
        <v>3</v>
      </c>
      <c r="C96" s="17" t="s">
        <v>238</v>
      </c>
      <c r="D96" s="59" t="s">
        <v>292</v>
      </c>
      <c r="E96" s="60">
        <v>5</v>
      </c>
      <c r="F96" s="61">
        <v>1</v>
      </c>
      <c r="G96" s="25">
        <f>IFERROR(VLOOKUP(C96,'🥬 식재료 DB'!$C$7:$H$121,6,0),"")</f>
        <v>107.77777777777777</v>
      </c>
      <c r="H96" s="62">
        <f t="shared" si="4"/>
        <v>538.88888888888891</v>
      </c>
      <c r="I96" s="63"/>
      <c r="J96" s="63"/>
    </row>
    <row r="97" spans="2:11" ht="16.5" customHeight="1">
      <c r="B97" s="58">
        <v>4</v>
      </c>
      <c r="C97" s="82" t="s">
        <v>146</v>
      </c>
      <c r="D97" s="59" t="s">
        <v>292</v>
      </c>
      <c r="E97" s="83">
        <v>15</v>
      </c>
      <c r="F97" s="84">
        <v>1</v>
      </c>
      <c r="G97" s="25">
        <f>IFERROR(VLOOKUP(C97,'🥬 식재료 DB'!$C$7:$H$121,6,0),"")</f>
        <v>18</v>
      </c>
      <c r="H97" s="62">
        <f t="shared" si="4"/>
        <v>270</v>
      </c>
      <c r="I97" s="85"/>
      <c r="J97" s="85"/>
    </row>
    <row r="98" spans="2:11" ht="16.5" customHeight="1">
      <c r="B98" s="58">
        <v>5</v>
      </c>
      <c r="C98" s="6" t="s">
        <v>168</v>
      </c>
      <c r="D98" s="59" t="s">
        <v>292</v>
      </c>
      <c r="E98" s="60">
        <v>15</v>
      </c>
      <c r="F98" s="61">
        <v>1</v>
      </c>
      <c r="G98" s="25">
        <f>IFERROR(VLOOKUP(C98,'🥬 식재료 DB'!$C$7:$H$121,6,0),"")</f>
        <v>1</v>
      </c>
      <c r="H98" s="62">
        <f t="shared" si="4"/>
        <v>15</v>
      </c>
      <c r="I98" s="63"/>
      <c r="J98" s="63"/>
    </row>
    <row r="99" spans="2:11" ht="16.5" customHeight="1">
      <c r="B99" s="58">
        <v>6</v>
      </c>
      <c r="C99" s="68"/>
      <c r="D99" s="59" t="s">
        <v>292</v>
      </c>
      <c r="E99" s="69"/>
      <c r="F99" s="70"/>
      <c r="G99" s="25" t="str">
        <f>IFERROR(VLOOKUP(C99,'🥬 식재료 DB'!$C$7:$H$121,6,0),"")</f>
        <v/>
      </c>
      <c r="H99" s="62" t="str">
        <f t="shared" si="4"/>
        <v/>
      </c>
      <c r="I99" s="85"/>
      <c r="J99" s="85"/>
    </row>
    <row r="100" spans="2:11" ht="16.5" customHeight="1">
      <c r="B100" s="58">
        <v>7</v>
      </c>
      <c r="C100" s="68"/>
      <c r="D100" s="59" t="s">
        <v>292</v>
      </c>
      <c r="E100" s="69"/>
      <c r="F100" s="70"/>
      <c r="G100" s="25" t="str">
        <f>IFERROR(VLOOKUP(C100,'🥬 식재료 DB'!$C$7:$H$121,6,0),"")</f>
        <v/>
      </c>
      <c r="H100" s="62" t="str">
        <f t="shared" si="4"/>
        <v/>
      </c>
      <c r="I100" s="63"/>
      <c r="J100" s="63"/>
    </row>
    <row r="101" spans="2:11" ht="16.5" customHeight="1">
      <c r="B101" s="58">
        <v>8</v>
      </c>
      <c r="C101" s="68"/>
      <c r="D101" s="59" t="s">
        <v>292</v>
      </c>
      <c r="E101" s="69"/>
      <c r="F101" s="70"/>
      <c r="G101" s="25" t="str">
        <f>IFERROR(VLOOKUP(C101,'🥬 식재료 DB'!$C$7:$H$121,6,0),"")</f>
        <v/>
      </c>
      <c r="H101" s="62" t="str">
        <f t="shared" si="4"/>
        <v/>
      </c>
      <c r="I101" s="85"/>
      <c r="J101" s="85"/>
    </row>
    <row r="102" spans="2:11" ht="16.5" customHeight="1">
      <c r="B102" s="58">
        <v>9</v>
      </c>
      <c r="C102" s="68"/>
      <c r="D102" s="59" t="s">
        <v>292</v>
      </c>
      <c r="E102" s="69"/>
      <c r="F102" s="70"/>
      <c r="G102" s="25" t="str">
        <f>IFERROR(VLOOKUP(C102,'🥬 식재료 DB'!$C$7:$H$121,6,0),"")</f>
        <v/>
      </c>
      <c r="H102" s="62" t="str">
        <f t="shared" si="4"/>
        <v/>
      </c>
      <c r="I102" s="63"/>
      <c r="J102" s="63"/>
    </row>
    <row r="103" spans="2:11" ht="16.5" customHeight="1">
      <c r="B103" s="58">
        <v>10</v>
      </c>
      <c r="C103" s="68"/>
      <c r="D103" s="59" t="s">
        <v>292</v>
      </c>
      <c r="E103" s="69"/>
      <c r="F103" s="70"/>
      <c r="G103" s="25" t="str">
        <f>IFERROR(VLOOKUP(C103,'🥬 식재료 DB'!$C$7:$H$121,6,0),"")</f>
        <v/>
      </c>
      <c r="H103" s="62" t="str">
        <f t="shared" si="4"/>
        <v/>
      </c>
      <c r="I103" s="85"/>
      <c r="J103" s="85"/>
    </row>
    <row r="104" spans="2:11" ht="16.5" customHeight="1">
      <c r="B104" s="58">
        <v>11</v>
      </c>
      <c r="C104" s="68"/>
      <c r="D104" s="59" t="s">
        <v>292</v>
      </c>
      <c r="E104" s="69"/>
      <c r="F104" s="70"/>
      <c r="G104" s="25" t="str">
        <f>IFERROR(VLOOKUP(C104,'🥬 식재료 DB'!$C$7:$H$121,6,0),"")</f>
        <v/>
      </c>
      <c r="H104" s="62" t="str">
        <f t="shared" si="4"/>
        <v/>
      </c>
      <c r="I104" s="63"/>
      <c r="J104" s="63"/>
    </row>
    <row r="105" spans="2:11" ht="16.5" customHeight="1">
      <c r="B105" s="58">
        <v>12</v>
      </c>
      <c r="C105" s="68"/>
      <c r="D105" s="59" t="s">
        <v>292</v>
      </c>
      <c r="E105" s="69"/>
      <c r="F105" s="70"/>
      <c r="G105" s="25" t="str">
        <f>IFERROR(VLOOKUP(C105,'🥬 식재료 DB'!$C$7:$H$121,6,0),"")</f>
        <v/>
      </c>
      <c r="H105" s="62" t="str">
        <f t="shared" si="4"/>
        <v/>
      </c>
      <c r="I105" s="85"/>
      <c r="J105" s="85"/>
    </row>
    <row r="106" spans="2:11" ht="12.75" customHeight="1">
      <c r="B106" s="203" t="s">
        <v>293</v>
      </c>
      <c r="C106" s="203"/>
      <c r="D106" s="203"/>
      <c r="E106" s="203"/>
      <c r="F106" s="203"/>
      <c r="G106" s="203"/>
      <c r="H106" s="203"/>
      <c r="I106" s="203"/>
      <c r="J106" s="203"/>
      <c r="K106" s="203"/>
    </row>
    <row r="107" spans="2:11" ht="16.5" customHeight="1">
      <c r="B107" s="71">
        <v>13</v>
      </c>
      <c r="C107" s="6" t="s">
        <v>294</v>
      </c>
      <c r="D107" s="72" t="s">
        <v>295</v>
      </c>
      <c r="E107" s="60">
        <v>200</v>
      </c>
      <c r="F107" s="61">
        <v>1</v>
      </c>
      <c r="G107" s="73">
        <f>IFERROR(VLOOKUP(C107,'🧪 프렙 원가표'!$C$8:$D$18,2,0),IFERROR(VLOOKUP(C107,'🥬 식재료 DB'!$C$7:$H$121,6,0),""))</f>
        <v>2.9176237535612533</v>
      </c>
      <c r="H107" s="74">
        <f>IFERROR(IF(AND(C107&lt;&gt;"",ISNUMBER(E107),ISNUMBER(F107),F107&gt;0,ISNUMBER(G107)),E107/F107*G107,""),"")</f>
        <v>583.52475071225069</v>
      </c>
      <c r="I107" s="63"/>
      <c r="J107" s="63"/>
    </row>
    <row r="108" spans="2:11" ht="16.5" customHeight="1">
      <c r="B108" s="71">
        <v>14</v>
      </c>
      <c r="C108" s="68"/>
      <c r="D108" s="72" t="s">
        <v>295</v>
      </c>
      <c r="E108" s="69"/>
      <c r="F108" s="70"/>
      <c r="G108" s="73" t="str">
        <f>IFERROR(VLOOKUP(C108,'🧪 프렙 원가표'!$C$8:$D$18,2,0),IFERROR(VLOOKUP(C108,'🥬 식재료 DB'!$C$7:$H$121,6,0),""))</f>
        <v/>
      </c>
      <c r="H108" s="74" t="str">
        <f>IFERROR(IF(AND(C108&lt;&gt;"",ISNUMBER(E108),ISNUMBER(F108),F108&gt;0,ISNUMBER(G108)),E108/F108*G108,""),"")</f>
        <v/>
      </c>
      <c r="I108" s="77"/>
      <c r="J108" s="77"/>
    </row>
    <row r="109" spans="2:11" ht="16.5" customHeight="1">
      <c r="B109" s="71">
        <v>15</v>
      </c>
      <c r="C109" s="68"/>
      <c r="D109" s="72" t="s">
        <v>295</v>
      </c>
      <c r="E109" s="69"/>
      <c r="F109" s="70"/>
      <c r="G109" s="73" t="str">
        <f>IFERROR(VLOOKUP(C109,'🧪 프렙 원가표'!$C$8:$D$18,2,0),IFERROR(VLOOKUP(C109,'🥬 식재료 DB'!$C$7:$H$121,6,0),""))</f>
        <v/>
      </c>
      <c r="H109" s="74" t="str">
        <f>IFERROR(IF(AND(C109&lt;&gt;"",ISNUMBER(E109),ISNUMBER(F109),F109&gt;0,ISNUMBER(G109)),E109/F109*G109,""),"")</f>
        <v/>
      </c>
      <c r="I109" s="63"/>
      <c r="J109" s="63"/>
    </row>
    <row r="110" spans="2:11" ht="16.5" customHeight="1">
      <c r="B110" s="71">
        <v>16</v>
      </c>
      <c r="C110" s="68"/>
      <c r="D110" s="72" t="s">
        <v>295</v>
      </c>
      <c r="E110" s="69"/>
      <c r="F110" s="70"/>
      <c r="G110" s="73" t="str">
        <f>IFERROR(VLOOKUP(C110,'🧪 프렙 원가표'!$C$8:$D$18,2,0),IFERROR(VLOOKUP(C110,'🥬 식재료 DB'!$C$7:$H$121,6,0),""))</f>
        <v/>
      </c>
      <c r="H110" s="74" t="str">
        <f>IFERROR(IF(AND(C110&lt;&gt;"",ISNUMBER(E110),ISNUMBER(F110),F110&gt;0,ISNUMBER(G110)),E110/F110*G110,""),"")</f>
        <v/>
      </c>
      <c r="I110" s="77"/>
      <c r="J110" s="77"/>
    </row>
    <row r="111" spans="2:11" ht="16.5" customHeight="1">
      <c r="B111" s="71">
        <v>17</v>
      </c>
      <c r="C111" s="68"/>
      <c r="D111" s="72" t="s">
        <v>295</v>
      </c>
      <c r="E111" s="69"/>
      <c r="F111" s="70"/>
      <c r="G111" s="73" t="str">
        <f>IFERROR(VLOOKUP(C111,'🧪 프렙 원가표'!$C$8:$D$18,2,0),IFERROR(VLOOKUP(C111,'🥬 식재료 DB'!$C$7:$H$121,6,0),""))</f>
        <v/>
      </c>
      <c r="H111" s="74" t="str">
        <f>IFERROR(IF(AND(C111&lt;&gt;"",ISNUMBER(E111),ISNUMBER(F111),F111&gt;0,ISNUMBER(G111)),E111/F111*G111,""),"")</f>
        <v/>
      </c>
      <c r="I111" s="63"/>
      <c r="J111" s="63"/>
    </row>
    <row r="112" spans="2:11" ht="3.75" customHeight="1">
      <c r="B112" s="78"/>
      <c r="C112" s="78"/>
      <c r="D112" s="78"/>
      <c r="E112" s="78"/>
      <c r="F112" s="78"/>
      <c r="G112" s="78"/>
      <c r="H112" s="78"/>
      <c r="I112" s="78"/>
      <c r="J112" s="78"/>
      <c r="K112" s="78"/>
    </row>
    <row r="113" spans="2:11" ht="27" customHeight="1">
      <c r="B113" s="50"/>
      <c r="C113" s="51" t="s">
        <v>324</v>
      </c>
      <c r="D113" s="50"/>
      <c r="E113" s="52">
        <v>14000</v>
      </c>
      <c r="F113" s="53">
        <f>IFERROR(SUM(H115,H116,H117,H118,H119,H120,H121,H122,H123,H124,H125,H126,H128,H129,H130,H131,H132),0)</f>
        <v>1170.8753561253561</v>
      </c>
      <c r="G113" s="54">
        <f>IFERROR(E113*'💰 고정비용 DB'!$D$22/'💰 고정비용 DB'!$D$25,0)</f>
        <v>9244.158923721141</v>
      </c>
      <c r="H113" s="55">
        <f>IFERROR(G113-F113,"")</f>
        <v>8073.2835675957849</v>
      </c>
      <c r="I113" s="56">
        <f>IFERROR(H113/E113,"")</f>
        <v>0.57666311197112752</v>
      </c>
      <c r="J113" s="57" t="str">
        <f>IF(I113="","⬜ 미입력",IF(I113&lt;=0.2,"✅ 양호",IF(I113&lt;=0.32,"🟡 주의","🔴 과다")))</f>
        <v>🔴 과다</v>
      </c>
      <c r="K113" s="50"/>
    </row>
    <row r="114" spans="2:11" ht="12.75" customHeight="1">
      <c r="B114" s="204" t="s">
        <v>291</v>
      </c>
      <c r="C114" s="204"/>
      <c r="D114" s="204"/>
      <c r="E114" s="204"/>
      <c r="F114" s="204"/>
      <c r="G114" s="204"/>
      <c r="H114" s="204"/>
      <c r="I114" s="204"/>
      <c r="J114" s="204"/>
      <c r="K114" s="204"/>
    </row>
    <row r="115" spans="2:11" ht="16.5" customHeight="1">
      <c r="B115" s="58">
        <v>1</v>
      </c>
      <c r="C115" s="6" t="s">
        <v>202</v>
      </c>
      <c r="D115" s="59" t="s">
        <v>292</v>
      </c>
      <c r="E115" s="60">
        <v>40</v>
      </c>
      <c r="F115" s="61">
        <v>1</v>
      </c>
      <c r="G115" s="25">
        <f>IFERROR(VLOOKUP(C115,'🥬 식재료 DB'!$C$7:$H$121,6,0),"")</f>
        <v>15</v>
      </c>
      <c r="H115" s="62">
        <f t="shared" ref="H115:H126" si="5">IFERROR(IF(AND(C115&lt;&gt;"",ISNUMBER(E115),ISNUMBER(F115),F115&gt;0,ISNUMBER(G115)),E115/F115*G115,""),"")</f>
        <v>600</v>
      </c>
      <c r="I115" s="63"/>
      <c r="J115" s="63"/>
    </row>
    <row r="116" spans="2:11" ht="16.5" customHeight="1">
      <c r="B116" s="58">
        <v>2</v>
      </c>
      <c r="C116" s="86" t="s">
        <v>325</v>
      </c>
      <c r="D116" s="59" t="s">
        <v>292</v>
      </c>
      <c r="E116" s="83">
        <v>20</v>
      </c>
      <c r="F116" s="84">
        <v>1</v>
      </c>
      <c r="G116" s="25" t="str">
        <f>IFERROR(VLOOKUP(C116,'🥬 식재료 DB'!$C$7:$H$121,6,0),"")</f>
        <v/>
      </c>
      <c r="H116" s="62" t="str">
        <f t="shared" si="5"/>
        <v/>
      </c>
      <c r="I116" s="85"/>
      <c r="J116" s="85"/>
    </row>
    <row r="117" spans="2:11" ht="16.5" customHeight="1">
      <c r="B117" s="58">
        <v>3</v>
      </c>
      <c r="C117" s="6" t="s">
        <v>140</v>
      </c>
      <c r="D117" s="59" t="s">
        <v>292</v>
      </c>
      <c r="E117" s="60">
        <v>10</v>
      </c>
      <c r="F117" s="61">
        <v>1</v>
      </c>
      <c r="G117" s="25">
        <f>IFERROR(VLOOKUP(C117,'🥬 식재료 DB'!$C$7:$H$121,6,0),"")</f>
        <v>0.93333333333333335</v>
      </c>
      <c r="H117" s="62">
        <f t="shared" si="5"/>
        <v>9.3333333333333339</v>
      </c>
      <c r="I117" s="63"/>
      <c r="J117" s="63"/>
    </row>
    <row r="118" spans="2:11" ht="16.5" customHeight="1">
      <c r="B118" s="58">
        <v>4</v>
      </c>
      <c r="C118" s="82" t="s">
        <v>236</v>
      </c>
      <c r="D118" s="59" t="s">
        <v>292</v>
      </c>
      <c r="E118" s="83">
        <v>5</v>
      </c>
      <c r="F118" s="84">
        <v>1</v>
      </c>
      <c r="G118" s="25">
        <f>IFERROR(VLOOKUP(C118,'🥬 식재료 DB'!$C$7:$H$121,6,0),"")</f>
        <v>14</v>
      </c>
      <c r="H118" s="62">
        <f t="shared" si="5"/>
        <v>70</v>
      </c>
      <c r="I118" s="85"/>
      <c r="J118" s="85"/>
    </row>
    <row r="119" spans="2:11" ht="16.5" customHeight="1">
      <c r="B119" s="58">
        <v>5</v>
      </c>
      <c r="C119" s="6" t="s">
        <v>168</v>
      </c>
      <c r="D119" s="59" t="s">
        <v>292</v>
      </c>
      <c r="E119" s="60">
        <v>15</v>
      </c>
      <c r="F119" s="61">
        <v>1</v>
      </c>
      <c r="G119" s="25">
        <f>IFERROR(VLOOKUP(C119,'🥬 식재료 DB'!$C$7:$H$121,6,0),"")</f>
        <v>1</v>
      </c>
      <c r="H119" s="62">
        <f t="shared" si="5"/>
        <v>15</v>
      </c>
      <c r="I119" s="63"/>
      <c r="J119" s="63"/>
    </row>
    <row r="120" spans="2:11" ht="16.5" customHeight="1">
      <c r="B120" s="58">
        <v>6</v>
      </c>
      <c r="C120" s="82" t="s">
        <v>171</v>
      </c>
      <c r="D120" s="59" t="s">
        <v>292</v>
      </c>
      <c r="E120" s="83">
        <v>5</v>
      </c>
      <c r="F120" s="84">
        <v>1</v>
      </c>
      <c r="G120" s="25">
        <f>IFERROR(VLOOKUP(C120,'🥬 식재료 DB'!$C$7:$H$121,6,0),"")</f>
        <v>1.9444444444444444</v>
      </c>
      <c r="H120" s="62">
        <f t="shared" si="5"/>
        <v>9.7222222222222214</v>
      </c>
      <c r="I120" s="85"/>
      <c r="J120" s="85"/>
    </row>
    <row r="121" spans="2:11" ht="16.5" customHeight="1">
      <c r="B121" s="58">
        <v>7</v>
      </c>
      <c r="C121" s="68"/>
      <c r="D121" s="59" t="s">
        <v>292</v>
      </c>
      <c r="E121" s="69"/>
      <c r="F121" s="70"/>
      <c r="G121" s="25" t="str">
        <f>IFERROR(VLOOKUP(C121,'🥬 식재료 DB'!$C$7:$H$121,6,0),"")</f>
        <v/>
      </c>
      <c r="H121" s="62" t="str">
        <f t="shared" si="5"/>
        <v/>
      </c>
      <c r="I121" s="63"/>
      <c r="J121" s="63"/>
    </row>
    <row r="122" spans="2:11" ht="16.5" customHeight="1">
      <c r="B122" s="58">
        <v>8</v>
      </c>
      <c r="C122" s="68"/>
      <c r="D122" s="59" t="s">
        <v>292</v>
      </c>
      <c r="E122" s="69"/>
      <c r="F122" s="70"/>
      <c r="G122" s="25" t="str">
        <f>IFERROR(VLOOKUP(C122,'🥬 식재료 DB'!$C$7:$H$121,6,0),"")</f>
        <v/>
      </c>
      <c r="H122" s="62" t="str">
        <f t="shared" si="5"/>
        <v/>
      </c>
      <c r="I122" s="85"/>
      <c r="J122" s="85"/>
    </row>
    <row r="123" spans="2:11" ht="16.5" customHeight="1">
      <c r="B123" s="58">
        <v>9</v>
      </c>
      <c r="C123" s="68"/>
      <c r="D123" s="59" t="s">
        <v>292</v>
      </c>
      <c r="E123" s="69"/>
      <c r="F123" s="70"/>
      <c r="G123" s="25" t="str">
        <f>IFERROR(VLOOKUP(C123,'🥬 식재료 DB'!$C$7:$H$121,6,0),"")</f>
        <v/>
      </c>
      <c r="H123" s="62" t="str">
        <f t="shared" si="5"/>
        <v/>
      </c>
      <c r="I123" s="63"/>
      <c r="J123" s="63"/>
    </row>
    <row r="124" spans="2:11" ht="16.5" customHeight="1">
      <c r="B124" s="58">
        <v>10</v>
      </c>
      <c r="C124" s="68"/>
      <c r="D124" s="59" t="s">
        <v>292</v>
      </c>
      <c r="E124" s="69"/>
      <c r="F124" s="70"/>
      <c r="G124" s="25" t="str">
        <f>IFERROR(VLOOKUP(C124,'🥬 식재료 DB'!$C$7:$H$121,6,0),"")</f>
        <v/>
      </c>
      <c r="H124" s="62" t="str">
        <f t="shared" si="5"/>
        <v/>
      </c>
      <c r="I124" s="85"/>
      <c r="J124" s="85"/>
    </row>
    <row r="125" spans="2:11" ht="16.5" customHeight="1">
      <c r="B125" s="58">
        <v>11</v>
      </c>
      <c r="C125" s="68"/>
      <c r="D125" s="59" t="s">
        <v>292</v>
      </c>
      <c r="E125" s="69"/>
      <c r="F125" s="70"/>
      <c r="G125" s="25" t="str">
        <f>IFERROR(VLOOKUP(C125,'🥬 식재료 DB'!$C$7:$H$121,6,0),"")</f>
        <v/>
      </c>
      <c r="H125" s="62" t="str">
        <f t="shared" si="5"/>
        <v/>
      </c>
      <c r="I125" s="63"/>
      <c r="J125" s="63"/>
    </row>
    <row r="126" spans="2:11" ht="16.5" customHeight="1">
      <c r="B126" s="58">
        <v>12</v>
      </c>
      <c r="C126" s="68"/>
      <c r="D126" s="59" t="s">
        <v>292</v>
      </c>
      <c r="E126" s="69"/>
      <c r="F126" s="70"/>
      <c r="G126" s="25" t="str">
        <f>IFERROR(VLOOKUP(C126,'🥬 식재료 DB'!$C$7:$H$121,6,0),"")</f>
        <v/>
      </c>
      <c r="H126" s="62" t="str">
        <f t="shared" si="5"/>
        <v/>
      </c>
      <c r="I126" s="85"/>
      <c r="J126" s="85"/>
    </row>
    <row r="127" spans="2:11" ht="12.75" customHeight="1">
      <c r="B127" s="203" t="s">
        <v>293</v>
      </c>
      <c r="C127" s="203"/>
      <c r="D127" s="203"/>
      <c r="E127" s="203"/>
      <c r="F127" s="203"/>
      <c r="G127" s="203"/>
      <c r="H127" s="203"/>
      <c r="I127" s="203"/>
      <c r="J127" s="203"/>
      <c r="K127" s="203"/>
    </row>
    <row r="128" spans="2:11" ht="16.5" customHeight="1">
      <c r="B128" s="71">
        <v>13</v>
      </c>
      <c r="C128" s="6" t="s">
        <v>294</v>
      </c>
      <c r="D128" s="72" t="s">
        <v>295</v>
      </c>
      <c r="E128" s="60">
        <v>160</v>
      </c>
      <c r="F128" s="61">
        <v>1</v>
      </c>
      <c r="G128" s="73">
        <f>IFERROR(VLOOKUP(C128,'🧪 프렙 원가표'!$C$8:$D$18,2,0),IFERROR(VLOOKUP(C128,'🥬 식재료 DB'!$C$7:$H$121,6,0),""))</f>
        <v>2.9176237535612533</v>
      </c>
      <c r="H128" s="74">
        <f>IFERROR(IF(AND(C128&lt;&gt;"",ISNUMBER(E128),ISNUMBER(F128),F128&gt;0,ISNUMBER(G128)),E128/F128*G128,""),"")</f>
        <v>466.81980056980052</v>
      </c>
      <c r="I128" s="63"/>
      <c r="J128" s="63"/>
    </row>
    <row r="129" spans="2:11" ht="16.5" customHeight="1">
      <c r="B129" s="71">
        <v>14</v>
      </c>
      <c r="C129" s="68"/>
      <c r="D129" s="72" t="s">
        <v>295</v>
      </c>
      <c r="E129" s="69"/>
      <c r="F129" s="70"/>
      <c r="G129" s="73" t="str">
        <f>IFERROR(VLOOKUP(C129,'🧪 프렙 원가표'!$C$8:$D$18,2,0),IFERROR(VLOOKUP(C129,'🥬 식재료 DB'!$C$7:$H$121,6,0),""))</f>
        <v/>
      </c>
      <c r="H129" s="74" t="str">
        <f>IFERROR(IF(AND(C129&lt;&gt;"",ISNUMBER(E129),ISNUMBER(F129),F129&gt;0,ISNUMBER(G129)),E129/F129*G129,""),"")</f>
        <v/>
      </c>
      <c r="I129" s="77"/>
      <c r="J129" s="77"/>
    </row>
    <row r="130" spans="2:11" ht="16.5" customHeight="1">
      <c r="B130" s="71">
        <v>15</v>
      </c>
      <c r="C130" s="68"/>
      <c r="D130" s="72" t="s">
        <v>295</v>
      </c>
      <c r="E130" s="69"/>
      <c r="F130" s="70"/>
      <c r="G130" s="73" t="str">
        <f>IFERROR(VLOOKUP(C130,'🧪 프렙 원가표'!$C$8:$D$18,2,0),IFERROR(VLOOKUP(C130,'🥬 식재료 DB'!$C$7:$H$121,6,0),""))</f>
        <v/>
      </c>
      <c r="H130" s="74" t="str">
        <f>IFERROR(IF(AND(C130&lt;&gt;"",ISNUMBER(E130),ISNUMBER(F130),F130&gt;0,ISNUMBER(G130)),E130/F130*G130,""),"")</f>
        <v/>
      </c>
      <c r="I130" s="63"/>
      <c r="J130" s="63"/>
    </row>
    <row r="131" spans="2:11" ht="16.5" customHeight="1">
      <c r="B131" s="71">
        <v>16</v>
      </c>
      <c r="C131" s="68"/>
      <c r="D131" s="72" t="s">
        <v>295</v>
      </c>
      <c r="E131" s="69"/>
      <c r="F131" s="70"/>
      <c r="G131" s="73" t="str">
        <f>IFERROR(VLOOKUP(C131,'🧪 프렙 원가표'!$C$8:$D$18,2,0),IFERROR(VLOOKUP(C131,'🥬 식재료 DB'!$C$7:$H$121,6,0),""))</f>
        <v/>
      </c>
      <c r="H131" s="74" t="str">
        <f>IFERROR(IF(AND(C131&lt;&gt;"",ISNUMBER(E131),ISNUMBER(F131),F131&gt;0,ISNUMBER(G131)),E131/F131*G131,""),"")</f>
        <v/>
      </c>
      <c r="I131" s="77"/>
      <c r="J131" s="77"/>
    </row>
    <row r="132" spans="2:11" ht="16.5" customHeight="1">
      <c r="B132" s="71">
        <v>17</v>
      </c>
      <c r="C132" s="68"/>
      <c r="D132" s="72" t="s">
        <v>295</v>
      </c>
      <c r="E132" s="69"/>
      <c r="F132" s="70"/>
      <c r="G132" s="73" t="str">
        <f>IFERROR(VLOOKUP(C132,'🧪 프렙 원가표'!$C$8:$D$18,2,0),IFERROR(VLOOKUP(C132,'🥬 식재료 DB'!$C$7:$H$121,6,0),""))</f>
        <v/>
      </c>
      <c r="H132" s="74" t="str">
        <f>IFERROR(IF(AND(C132&lt;&gt;"",ISNUMBER(E132),ISNUMBER(F132),F132&gt;0,ISNUMBER(G132)),E132/F132*G132,""),"")</f>
        <v/>
      </c>
      <c r="I132" s="63"/>
      <c r="J132" s="63"/>
    </row>
    <row r="133" spans="2:11" ht="3.75" customHeight="1">
      <c r="B133" s="78"/>
      <c r="C133" s="78"/>
      <c r="D133" s="78"/>
      <c r="E133" s="78"/>
      <c r="F133" s="78"/>
      <c r="G133" s="78"/>
      <c r="H133" s="78"/>
      <c r="I133" s="78"/>
      <c r="J133" s="78"/>
      <c r="K133" s="78"/>
    </row>
    <row r="134" spans="2:11" ht="27" customHeight="1">
      <c r="B134" s="50"/>
      <c r="C134" s="51" t="s">
        <v>326</v>
      </c>
      <c r="D134" s="50"/>
      <c r="E134" s="52">
        <v>15000</v>
      </c>
      <c r="F134" s="53">
        <f>IFERROR(SUM(H136,H137,H138,H139,H140,H141,H142,H143,H144,H145,H146,H147,H149,H150,H151,H152,H153),0)</f>
        <v>1538.0213213569689</v>
      </c>
      <c r="G134" s="54">
        <f>IFERROR(E134*'💰 고정비용 DB'!$D$22/'💰 고정비용 DB'!$D$25,0)</f>
        <v>9904.4559897012223</v>
      </c>
      <c r="H134" s="55">
        <f>IFERROR(G134-F134,"")</f>
        <v>8366.4346683442527</v>
      </c>
      <c r="I134" s="56">
        <f>IFERROR(H134/E134,"")</f>
        <v>0.55776231122295017</v>
      </c>
      <c r="J134" s="57" t="str">
        <f>IF(I134="","⬜ 미입력",IF(I134&lt;=0.2,"✅ 양호",IF(I134&lt;=0.32,"🟡 주의","🔴 과다")))</f>
        <v>🔴 과다</v>
      </c>
      <c r="K134" s="50"/>
    </row>
    <row r="135" spans="2:11" ht="12.75" customHeight="1">
      <c r="B135" s="204" t="s">
        <v>291</v>
      </c>
      <c r="C135" s="204"/>
      <c r="D135" s="204"/>
      <c r="E135" s="204"/>
      <c r="F135" s="204"/>
      <c r="G135" s="204"/>
      <c r="H135" s="204"/>
      <c r="I135" s="204"/>
      <c r="J135" s="204"/>
      <c r="K135" s="204"/>
    </row>
    <row r="136" spans="2:11" ht="16.5" customHeight="1">
      <c r="B136" s="58">
        <v>1</v>
      </c>
      <c r="C136" s="6" t="s">
        <v>202</v>
      </c>
      <c r="D136" s="59" t="s">
        <v>292</v>
      </c>
      <c r="E136" s="60">
        <v>50</v>
      </c>
      <c r="F136" s="61">
        <v>1</v>
      </c>
      <c r="G136" s="25">
        <f>IFERROR(VLOOKUP(C136,'🥬 식재료 DB'!$C$7:$H$121,6,0),"")</f>
        <v>15</v>
      </c>
      <c r="H136" s="62">
        <f t="shared" ref="H136:H147" si="6">IFERROR(IF(AND(C136&lt;&gt;"",ISNUMBER(E136),ISNUMBER(F136),F136&gt;0,ISNUMBER(G136)),E136/F136*G136,""),"")</f>
        <v>750</v>
      </c>
      <c r="I136" s="63"/>
      <c r="J136" s="63"/>
    </row>
    <row r="137" spans="2:11" ht="16.5" customHeight="1">
      <c r="B137" s="58">
        <v>2</v>
      </c>
      <c r="C137" s="82" t="s">
        <v>168</v>
      </c>
      <c r="D137" s="59" t="s">
        <v>292</v>
      </c>
      <c r="E137" s="83">
        <v>5</v>
      </c>
      <c r="F137" s="84">
        <v>1</v>
      </c>
      <c r="G137" s="25">
        <f>IFERROR(VLOOKUP(C137,'🥬 식재료 DB'!$C$7:$H$121,6,0),"")</f>
        <v>1</v>
      </c>
      <c r="H137" s="62">
        <f t="shared" si="6"/>
        <v>5</v>
      </c>
      <c r="I137" s="85"/>
      <c r="J137" s="85"/>
    </row>
    <row r="138" spans="2:11" ht="16.5" customHeight="1">
      <c r="B138" s="58">
        <v>3</v>
      </c>
      <c r="C138" s="6" t="s">
        <v>140</v>
      </c>
      <c r="D138" s="59" t="s">
        <v>292</v>
      </c>
      <c r="E138" s="60">
        <v>20</v>
      </c>
      <c r="F138" s="61">
        <v>1</v>
      </c>
      <c r="G138" s="25">
        <f>IFERROR(VLOOKUP(C138,'🥬 식재료 DB'!$C$7:$H$121,6,0),"")</f>
        <v>0.93333333333333335</v>
      </c>
      <c r="H138" s="62">
        <f t="shared" si="6"/>
        <v>18.666666666666668</v>
      </c>
      <c r="I138" s="63"/>
      <c r="J138" s="63"/>
    </row>
    <row r="139" spans="2:11" ht="16.5" customHeight="1">
      <c r="B139" s="58">
        <v>4</v>
      </c>
      <c r="C139" s="68"/>
      <c r="D139" s="59" t="s">
        <v>292</v>
      </c>
      <c r="E139" s="69"/>
      <c r="F139" s="70"/>
      <c r="G139" s="25" t="str">
        <f>IFERROR(VLOOKUP(C139,'🥬 식재료 DB'!$C$7:$H$121,6,0),"")</f>
        <v/>
      </c>
      <c r="H139" s="62" t="str">
        <f t="shared" si="6"/>
        <v/>
      </c>
      <c r="I139" s="85"/>
      <c r="J139" s="85"/>
    </row>
    <row r="140" spans="2:11" ht="16.5" customHeight="1">
      <c r="B140" s="58">
        <v>5</v>
      </c>
      <c r="C140" s="68"/>
      <c r="D140" s="59" t="s">
        <v>292</v>
      </c>
      <c r="E140" s="69"/>
      <c r="F140" s="70"/>
      <c r="G140" s="25" t="str">
        <f>IFERROR(VLOOKUP(C140,'🥬 식재료 DB'!$C$7:$H$121,6,0),"")</f>
        <v/>
      </c>
      <c r="H140" s="62" t="str">
        <f t="shared" si="6"/>
        <v/>
      </c>
      <c r="I140" s="63"/>
      <c r="J140" s="63"/>
    </row>
    <row r="141" spans="2:11" ht="16.5" customHeight="1">
      <c r="B141" s="58">
        <v>6</v>
      </c>
      <c r="C141" s="68"/>
      <c r="D141" s="59" t="s">
        <v>292</v>
      </c>
      <c r="E141" s="69"/>
      <c r="F141" s="70"/>
      <c r="G141" s="25" t="str">
        <f>IFERROR(VLOOKUP(C141,'🥬 식재료 DB'!$C$7:$H$121,6,0),"")</f>
        <v/>
      </c>
      <c r="H141" s="62" t="str">
        <f t="shared" si="6"/>
        <v/>
      </c>
      <c r="I141" s="85"/>
      <c r="J141" s="85"/>
    </row>
    <row r="142" spans="2:11" ht="16.5" customHeight="1">
      <c r="B142" s="58">
        <v>7</v>
      </c>
      <c r="C142" s="68"/>
      <c r="D142" s="59" t="s">
        <v>292</v>
      </c>
      <c r="E142" s="69"/>
      <c r="F142" s="70"/>
      <c r="G142" s="25" t="str">
        <f>IFERROR(VLOOKUP(C142,'🥬 식재료 DB'!$C$7:$H$121,6,0),"")</f>
        <v/>
      </c>
      <c r="H142" s="62" t="str">
        <f t="shared" si="6"/>
        <v/>
      </c>
      <c r="I142" s="63"/>
      <c r="J142" s="63"/>
    </row>
    <row r="143" spans="2:11" ht="16.5" customHeight="1">
      <c r="B143" s="58">
        <v>8</v>
      </c>
      <c r="C143" s="68"/>
      <c r="D143" s="59" t="s">
        <v>292</v>
      </c>
      <c r="E143" s="69"/>
      <c r="F143" s="70"/>
      <c r="G143" s="25" t="str">
        <f>IFERROR(VLOOKUP(C143,'🥬 식재료 DB'!$C$7:$H$121,6,0),"")</f>
        <v/>
      </c>
      <c r="H143" s="62" t="str">
        <f t="shared" si="6"/>
        <v/>
      </c>
      <c r="I143" s="85"/>
      <c r="J143" s="85"/>
    </row>
    <row r="144" spans="2:11" ht="16.5" customHeight="1">
      <c r="B144" s="58">
        <v>9</v>
      </c>
      <c r="C144" s="68"/>
      <c r="D144" s="59" t="s">
        <v>292</v>
      </c>
      <c r="E144" s="69"/>
      <c r="F144" s="70"/>
      <c r="G144" s="25" t="str">
        <f>IFERROR(VLOOKUP(C144,'🥬 식재료 DB'!$C$7:$H$121,6,0),"")</f>
        <v/>
      </c>
      <c r="H144" s="62" t="str">
        <f t="shared" si="6"/>
        <v/>
      </c>
      <c r="I144" s="63"/>
      <c r="J144" s="63"/>
    </row>
    <row r="145" spans="2:11" ht="16.5" customHeight="1">
      <c r="B145" s="58">
        <v>10</v>
      </c>
      <c r="C145" s="68"/>
      <c r="D145" s="59" t="s">
        <v>292</v>
      </c>
      <c r="E145" s="69"/>
      <c r="F145" s="70"/>
      <c r="G145" s="25" t="str">
        <f>IFERROR(VLOOKUP(C145,'🥬 식재료 DB'!$C$7:$H$121,6,0),"")</f>
        <v/>
      </c>
      <c r="H145" s="62" t="str">
        <f t="shared" si="6"/>
        <v/>
      </c>
      <c r="I145" s="85"/>
      <c r="J145" s="85"/>
    </row>
    <row r="146" spans="2:11" ht="16.5" customHeight="1">
      <c r="B146" s="58">
        <v>11</v>
      </c>
      <c r="C146" s="68"/>
      <c r="D146" s="59" t="s">
        <v>292</v>
      </c>
      <c r="E146" s="69"/>
      <c r="F146" s="70"/>
      <c r="G146" s="25" t="str">
        <f>IFERROR(VLOOKUP(C146,'🥬 식재료 DB'!$C$7:$H$121,6,0),"")</f>
        <v/>
      </c>
      <c r="H146" s="62" t="str">
        <f t="shared" si="6"/>
        <v/>
      </c>
      <c r="I146" s="63"/>
      <c r="J146" s="63"/>
    </row>
    <row r="147" spans="2:11" ht="16.5" customHeight="1">
      <c r="B147" s="58">
        <v>12</v>
      </c>
      <c r="C147" s="68"/>
      <c r="D147" s="59" t="s">
        <v>292</v>
      </c>
      <c r="E147" s="69"/>
      <c r="F147" s="70"/>
      <c r="G147" s="25" t="str">
        <f>IFERROR(VLOOKUP(C147,'🥬 식재료 DB'!$C$7:$H$121,6,0),"")</f>
        <v/>
      </c>
      <c r="H147" s="62" t="str">
        <f t="shared" si="6"/>
        <v/>
      </c>
      <c r="I147" s="85"/>
      <c r="J147" s="85"/>
    </row>
    <row r="148" spans="2:11" ht="12.75" customHeight="1">
      <c r="B148" s="203" t="s">
        <v>293</v>
      </c>
      <c r="C148" s="203"/>
      <c r="D148" s="203"/>
      <c r="E148" s="203"/>
      <c r="F148" s="203"/>
      <c r="G148" s="203"/>
      <c r="H148" s="203"/>
      <c r="I148" s="203"/>
      <c r="J148" s="203"/>
      <c r="K148" s="203"/>
    </row>
    <row r="149" spans="2:11" ht="16.5" customHeight="1">
      <c r="B149" s="71">
        <v>13</v>
      </c>
      <c r="C149" s="6" t="s">
        <v>294</v>
      </c>
      <c r="D149" s="72" t="s">
        <v>295</v>
      </c>
      <c r="E149" s="60">
        <v>200</v>
      </c>
      <c r="F149" s="61">
        <v>1</v>
      </c>
      <c r="G149" s="73">
        <f>IFERROR(VLOOKUP(C149,'🧪 프렙 원가표'!$C$8:$D$18,2,0),IFERROR(VLOOKUP(C149,'🥬 식재료 DB'!$C$7:$H$121,6,0),""))</f>
        <v>2.9176237535612533</v>
      </c>
      <c r="H149" s="74">
        <f>IFERROR(IF(AND(C149&lt;&gt;"",ISNUMBER(E149),ISNUMBER(F149),F149&gt;0,ISNUMBER(G149)),E149/F149*G149,""),"")</f>
        <v>583.52475071225069</v>
      </c>
      <c r="I149" s="63"/>
      <c r="J149" s="63"/>
    </row>
    <row r="150" spans="2:11" ht="16.5" customHeight="1">
      <c r="B150" s="71">
        <v>14</v>
      </c>
      <c r="C150" s="12" t="s">
        <v>312</v>
      </c>
      <c r="D150" s="72" t="s">
        <v>295</v>
      </c>
      <c r="E150" s="75">
        <v>20</v>
      </c>
      <c r="F150" s="76">
        <v>1</v>
      </c>
      <c r="G150" s="73">
        <f>IFERROR(VLOOKUP(C150,'🧪 프렙 원가표'!$C$8:$D$18,2,0),IFERROR(VLOOKUP(C150,'🥬 식재료 DB'!$C$7:$H$121,6,0),""))</f>
        <v>1.5972222222222221</v>
      </c>
      <c r="H150" s="74">
        <f>IFERROR(IF(AND(C150&lt;&gt;"",ISNUMBER(E150),ISNUMBER(F150),F150&gt;0,ISNUMBER(G150)),E150/F150*G150,""),"")</f>
        <v>31.944444444444443</v>
      </c>
      <c r="I150" s="77"/>
      <c r="J150" s="77"/>
    </row>
    <row r="151" spans="2:11" ht="16.5" customHeight="1">
      <c r="B151" s="71">
        <v>15</v>
      </c>
      <c r="C151" s="6" t="s">
        <v>309</v>
      </c>
      <c r="D151" s="72" t="s">
        <v>295</v>
      </c>
      <c r="E151" s="60">
        <v>14.104938271604899</v>
      </c>
      <c r="F151" s="61">
        <v>1</v>
      </c>
      <c r="G151" s="73">
        <f>IFERROR(VLOOKUP(C151,'🧪 프렙 원가표'!$C$8:$D$18,2,0),IFERROR(VLOOKUP(C151,'🥬 식재료 DB'!$C$7:$H$121,6,0),""))</f>
        <v>10.555555555555555</v>
      </c>
      <c r="H151" s="74">
        <f>IFERROR(IF(AND(C151&lt;&gt;"",ISNUMBER(E151),ISNUMBER(F151),F151&gt;0,ISNUMBER(G151)),E151/F151*G151,""),"")</f>
        <v>148.88545953360727</v>
      </c>
      <c r="I151" s="63"/>
      <c r="J151" s="63"/>
    </row>
    <row r="152" spans="2:11" ht="16.5" customHeight="1">
      <c r="B152" s="71">
        <v>16</v>
      </c>
      <c r="C152" s="68"/>
      <c r="D152" s="72" t="s">
        <v>295</v>
      </c>
      <c r="E152" s="69"/>
      <c r="F152" s="70"/>
      <c r="G152" s="73" t="str">
        <f>IFERROR(VLOOKUP(C152,'🧪 프렙 원가표'!$C$8:$D$18,2,0),IFERROR(VLOOKUP(C152,'🥬 식재료 DB'!$C$7:$H$121,6,0),""))</f>
        <v/>
      </c>
      <c r="H152" s="74" t="str">
        <f>IFERROR(IF(AND(C152&lt;&gt;"",ISNUMBER(E152),ISNUMBER(F152),F152&gt;0,ISNUMBER(G152)),E152/F152*G152,""),"")</f>
        <v/>
      </c>
      <c r="I152" s="77"/>
      <c r="J152" s="77"/>
    </row>
    <row r="153" spans="2:11" ht="16.5" customHeight="1">
      <c r="B153" s="71">
        <v>17</v>
      </c>
      <c r="C153" s="68"/>
      <c r="D153" s="72" t="s">
        <v>295</v>
      </c>
      <c r="E153" s="69"/>
      <c r="F153" s="70"/>
      <c r="G153" s="73" t="str">
        <f>IFERROR(VLOOKUP(C153,'🧪 프렙 원가표'!$C$8:$D$18,2,0),IFERROR(VLOOKUP(C153,'🥬 식재료 DB'!$C$7:$H$121,6,0),""))</f>
        <v/>
      </c>
      <c r="H153" s="74" t="str">
        <f>IFERROR(IF(AND(C153&lt;&gt;"",ISNUMBER(E153),ISNUMBER(F153),F153&gt;0,ISNUMBER(G153)),E153/F153*G153,""),"")</f>
        <v/>
      </c>
      <c r="I153" s="63"/>
      <c r="J153" s="63"/>
    </row>
    <row r="154" spans="2:11" ht="3.75" customHeight="1">
      <c r="B154" s="78"/>
      <c r="C154" s="78"/>
      <c r="D154" s="78"/>
      <c r="E154" s="78"/>
      <c r="F154" s="78"/>
      <c r="G154" s="78"/>
      <c r="H154" s="78"/>
      <c r="I154" s="78"/>
      <c r="J154" s="78"/>
      <c r="K154" s="78"/>
    </row>
  </sheetData>
  <mergeCells count="17">
    <mergeCell ref="B2:K2"/>
    <mergeCell ref="B4:K4"/>
    <mergeCell ref="B5:K5"/>
    <mergeCell ref="B9:K9"/>
    <mergeCell ref="B22:K22"/>
    <mergeCell ref="B30:K30"/>
    <mergeCell ref="B43:K43"/>
    <mergeCell ref="B51:K51"/>
    <mergeCell ref="B64:K64"/>
    <mergeCell ref="B72:K72"/>
    <mergeCell ref="B135:K135"/>
    <mergeCell ref="B148:K148"/>
    <mergeCell ref="B85:K85"/>
    <mergeCell ref="B93:K93"/>
    <mergeCell ref="B106:K106"/>
    <mergeCell ref="B114:K114"/>
    <mergeCell ref="B127:K127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6B8A"/>
  </sheetPr>
  <dimension ref="A1:K91"/>
  <sheetViews>
    <sheetView showGridLines="0" zoomScaleNormal="100" workbookViewId="0">
      <pane xSplit="2" ySplit="7" topLeftCell="C80" activePane="bottomRight" state="frozen"/>
      <selection pane="topRight" activeCell="C1" sqref="C1"/>
      <selection pane="bottomLeft" activeCell="A8" sqref="A8"/>
      <selection pane="bottomRight" activeCell="H71" sqref="H71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08" t="s">
        <v>327</v>
      </c>
      <c r="C2" s="208"/>
      <c r="D2" s="208"/>
      <c r="E2" s="208"/>
      <c r="F2" s="208"/>
      <c r="G2" s="208"/>
      <c r="H2" s="208"/>
      <c r="I2" s="208"/>
      <c r="J2" s="208"/>
      <c r="K2" s="208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87" t="s">
        <v>6</v>
      </c>
      <c r="C7" s="88" t="s">
        <v>130</v>
      </c>
      <c r="D7" s="88" t="s">
        <v>284</v>
      </c>
      <c r="E7" s="88" t="s">
        <v>285</v>
      </c>
      <c r="F7" s="88" t="s">
        <v>286</v>
      </c>
      <c r="G7" s="87" t="s">
        <v>287</v>
      </c>
      <c r="H7" s="88" t="s">
        <v>288</v>
      </c>
      <c r="I7" s="88" t="s">
        <v>289</v>
      </c>
    </row>
    <row r="8" spans="2:11" ht="27" customHeight="1">
      <c r="B8" s="50"/>
      <c r="C8" s="51" t="s">
        <v>328</v>
      </c>
      <c r="D8" s="50"/>
      <c r="E8" s="52">
        <v>11000</v>
      </c>
      <c r="F8" s="53">
        <f>IFERROR(SUM(H10,H11,H12,H13,H14,H15,H16,H17,H18,H19,H20,H21,H23,H24,H25,H26,H27),0)</f>
        <v>1258.0247507122508</v>
      </c>
      <c r="G8" s="54">
        <f>IFERROR(E8*'💰 고정비용 DB'!$D$22/'💰 고정비용 DB'!$D$25,0)</f>
        <v>7263.2677257808964</v>
      </c>
      <c r="H8" s="55">
        <f>IFERROR(G8-F8,"")</f>
        <v>6005.242975068646</v>
      </c>
      <c r="I8" s="56">
        <f>IFERROR(H8/E8,"")</f>
        <v>0.54593117955169512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222</v>
      </c>
      <c r="D10" s="59" t="s">
        <v>292</v>
      </c>
      <c r="E10" s="60">
        <v>130</v>
      </c>
      <c r="F10" s="61">
        <v>1</v>
      </c>
      <c r="G10" s="25">
        <f>IFERROR(VLOOKUP(C10,'🥬 식재료 DB'!$C$7:$H$121,6,0),"")</f>
        <v>3.2307692307692308</v>
      </c>
      <c r="H10" s="62">
        <f t="shared" ref="H10:H21" si="0">IFERROR(IF(AND(C10&lt;&gt;"",ISNUMBER(E10),ISNUMBER(F10),F10&gt;0,ISNUMBER(G10)),E10/F10*G10,""),"")</f>
        <v>420</v>
      </c>
      <c r="I10" s="63"/>
      <c r="J10" s="63"/>
    </row>
    <row r="11" spans="2:11" ht="16.5" customHeight="1">
      <c r="B11" s="58">
        <v>2</v>
      </c>
      <c r="C11" s="89" t="s">
        <v>224</v>
      </c>
      <c r="D11" s="59" t="s">
        <v>292</v>
      </c>
      <c r="E11" s="90">
        <v>2</v>
      </c>
      <c r="F11" s="91">
        <v>1</v>
      </c>
      <c r="G11" s="25">
        <f>IFERROR(VLOOKUP(C11,'🥬 식재료 DB'!$C$7:$H$121,6,0),"")</f>
        <v>18</v>
      </c>
      <c r="H11" s="62">
        <f t="shared" si="0"/>
        <v>36</v>
      </c>
      <c r="I11" s="92"/>
      <c r="J11" s="92"/>
    </row>
    <row r="12" spans="2:11" ht="16.5" customHeight="1">
      <c r="B12" s="58">
        <v>3</v>
      </c>
      <c r="C12" s="6" t="s">
        <v>158</v>
      </c>
      <c r="D12" s="59" t="s">
        <v>292</v>
      </c>
      <c r="E12" s="60">
        <v>15</v>
      </c>
      <c r="F12" s="61">
        <v>1</v>
      </c>
      <c r="G12" s="25">
        <f>IFERROR(VLOOKUP(C12,'🥬 식재료 DB'!$C$7:$H$121,6,0),"")</f>
        <v>2.4</v>
      </c>
      <c r="H12" s="62">
        <f t="shared" si="0"/>
        <v>36</v>
      </c>
      <c r="I12" s="63"/>
      <c r="J12" s="63"/>
    </row>
    <row r="13" spans="2:11" ht="16.5" customHeight="1">
      <c r="B13" s="58">
        <v>4</v>
      </c>
      <c r="C13" s="89" t="s">
        <v>168</v>
      </c>
      <c r="D13" s="59" t="s">
        <v>292</v>
      </c>
      <c r="E13" s="90">
        <v>5</v>
      </c>
      <c r="F13" s="91">
        <v>1</v>
      </c>
      <c r="G13" s="25">
        <f>IFERROR(VLOOKUP(C13,'🥬 식재료 DB'!$C$7:$H$121,6,0),"")</f>
        <v>1</v>
      </c>
      <c r="H13" s="62">
        <f t="shared" si="0"/>
        <v>5</v>
      </c>
      <c r="I13" s="92"/>
      <c r="J13" s="92"/>
    </row>
    <row r="14" spans="2:11" ht="16.5" customHeight="1">
      <c r="B14" s="58">
        <v>5</v>
      </c>
      <c r="C14" s="6" t="s">
        <v>215</v>
      </c>
      <c r="D14" s="59" t="s">
        <v>292</v>
      </c>
      <c r="E14" s="60">
        <v>30</v>
      </c>
      <c r="F14" s="61">
        <v>1</v>
      </c>
      <c r="G14" s="25">
        <f>IFERROR(VLOOKUP(C14,'🥬 식재료 DB'!$C$7:$H$121,6,0),"")</f>
        <v>4.25</v>
      </c>
      <c r="H14" s="62">
        <f t="shared" si="0"/>
        <v>127.5</v>
      </c>
      <c r="I14" s="63"/>
      <c r="J14" s="63"/>
    </row>
    <row r="15" spans="2:11" ht="16.5" customHeight="1">
      <c r="B15" s="58">
        <v>6</v>
      </c>
      <c r="C15" s="89" t="s">
        <v>143</v>
      </c>
      <c r="D15" s="59" t="s">
        <v>292</v>
      </c>
      <c r="E15" s="90">
        <v>5</v>
      </c>
      <c r="F15" s="91">
        <v>1</v>
      </c>
      <c r="G15" s="25">
        <f>IFERROR(VLOOKUP(C15,'🥬 식재료 DB'!$C$7:$H$121,6,0),"")</f>
        <v>10</v>
      </c>
      <c r="H15" s="62">
        <f t="shared" si="0"/>
        <v>50</v>
      </c>
      <c r="I15" s="92"/>
      <c r="J15" s="92"/>
    </row>
    <row r="16" spans="2:11" ht="16.5" customHeight="1">
      <c r="B16" s="58">
        <v>7</v>
      </c>
      <c r="C16" s="68"/>
      <c r="D16" s="59" t="s">
        <v>292</v>
      </c>
      <c r="E16" s="69"/>
      <c r="F16" s="70"/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68"/>
      <c r="D17" s="59" t="s">
        <v>292</v>
      </c>
      <c r="E17" s="69"/>
      <c r="F17" s="70"/>
      <c r="G17" s="25" t="str">
        <f>IFERROR(VLOOKUP(C17,'🥬 식재료 DB'!$C$7:$H$121,6,0),"")</f>
        <v/>
      </c>
      <c r="H17" s="62" t="str">
        <f t="shared" si="0"/>
        <v/>
      </c>
      <c r="I17" s="92"/>
      <c r="J17" s="92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92"/>
      <c r="J19" s="92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92"/>
      <c r="J21" s="92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" t="s">
        <v>294</v>
      </c>
      <c r="D23" s="72" t="s">
        <v>295</v>
      </c>
      <c r="E23" s="60">
        <v>200</v>
      </c>
      <c r="F23" s="61">
        <v>1</v>
      </c>
      <c r="G23" s="73">
        <f>IFERROR(VLOOKUP(C23,'🧪 프렙 원가표'!$C$8:$D$18,2,0),IFERROR(VLOOKUP(C23,'🥬 식재료 DB'!$C$7:$H$121,6,0),""))</f>
        <v>2.9176237535612533</v>
      </c>
      <c r="H23" s="74">
        <f>IFERROR(IF(AND(C23&lt;&gt;"",ISNUMBER(E23),ISNUMBER(F23),F23&gt;0,ISNUMBER(G23)),E23/F23*G23,""),"")</f>
        <v>583.52475071225069</v>
      </c>
      <c r="I23" s="63"/>
      <c r="J23" s="63"/>
    </row>
    <row r="24" spans="2:11" ht="16.5" customHeight="1">
      <c r="B24" s="71">
        <v>14</v>
      </c>
      <c r="C24" s="68"/>
      <c r="D24" s="72" t="s">
        <v>295</v>
      </c>
      <c r="E24" s="69"/>
      <c r="F24" s="70"/>
      <c r="G24" s="73" t="str">
        <f>IFERROR(VLOOKUP(C24,'🧪 프렙 원가표'!$C$8:$D$18,2,0),IFERROR(VLOOKUP(C24,'🥬 식재료 DB'!$C$7:$H$121,6,0),""))</f>
        <v/>
      </c>
      <c r="H24" s="74" t="str">
        <f>IFERROR(IF(AND(C24&lt;&gt;"",ISNUMBER(E24),ISNUMBER(F24),F24&gt;0,ISNUMBER(G24)),E24/F24*G24,""),"")</f>
        <v/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329</v>
      </c>
      <c r="D29" s="50"/>
      <c r="E29" s="52">
        <v>13000</v>
      </c>
      <c r="F29" s="53">
        <f>IFERROR(SUM(H31,H32,H33,H34,H35,H36,H37,H38,H39,H40,H41,H42,H44,H45,H46,H47,H48),0)</f>
        <v>1358.4960381054129</v>
      </c>
      <c r="G29" s="54">
        <f>IFERROR(E29*'💰 고정비용 DB'!$D$22/'💰 고정비용 DB'!$D$25,0)</f>
        <v>8583.8618577410598</v>
      </c>
      <c r="H29" s="55">
        <f>IFERROR(G29-F29,"")</f>
        <v>7225.3658196356464</v>
      </c>
      <c r="I29" s="56">
        <f>IFERROR(H29/E29,"")</f>
        <v>0.55579737074120361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165</v>
      </c>
      <c r="D31" s="59" t="s">
        <v>292</v>
      </c>
      <c r="E31" s="60">
        <v>45</v>
      </c>
      <c r="F31" s="61">
        <v>1</v>
      </c>
      <c r="G31" s="25">
        <f>IFERROR(VLOOKUP(C31,'🥬 식재료 DB'!$C$7:$H$121,6,0),"")</f>
        <v>16.666666666666668</v>
      </c>
      <c r="H31" s="62">
        <f t="shared" ref="H31:H42" si="1">IFERROR(IF(AND(C31&lt;&gt;"",ISNUMBER(E31),ISNUMBER(F31),F31&gt;0,ISNUMBER(G31)),E31/F31*G31,""),"")</f>
        <v>750</v>
      </c>
      <c r="I31" s="63"/>
      <c r="J31" s="63"/>
    </row>
    <row r="32" spans="2:11" ht="16.5" customHeight="1">
      <c r="B32" s="58">
        <v>2</v>
      </c>
      <c r="C32" s="89" t="s">
        <v>227</v>
      </c>
      <c r="D32" s="59" t="s">
        <v>292</v>
      </c>
      <c r="E32" s="90">
        <v>10</v>
      </c>
      <c r="F32" s="91">
        <v>1</v>
      </c>
      <c r="G32" s="25">
        <f>IFERROR(VLOOKUP(C32,'🥬 식재료 DB'!$C$7:$H$121,6,0),"")</f>
        <v>6</v>
      </c>
      <c r="H32" s="62">
        <f t="shared" si="1"/>
        <v>60</v>
      </c>
      <c r="I32" s="92"/>
      <c r="J32" s="92"/>
    </row>
    <row r="33" spans="2:11" ht="16.5" customHeight="1">
      <c r="B33" s="58">
        <v>3</v>
      </c>
      <c r="C33" s="6" t="s">
        <v>215</v>
      </c>
      <c r="D33" s="59" t="s">
        <v>292</v>
      </c>
      <c r="E33" s="60">
        <v>10</v>
      </c>
      <c r="F33" s="61">
        <v>1</v>
      </c>
      <c r="G33" s="25">
        <f>IFERROR(VLOOKUP(C33,'🥬 식재료 DB'!$C$7:$H$121,6,0),"")</f>
        <v>4.25</v>
      </c>
      <c r="H33" s="62">
        <f t="shared" si="1"/>
        <v>42.5</v>
      </c>
      <c r="I33" s="63"/>
      <c r="J33" s="63"/>
    </row>
    <row r="34" spans="2:11" ht="16.5" customHeight="1">
      <c r="B34" s="58">
        <v>4</v>
      </c>
      <c r="C34" s="89" t="s">
        <v>168</v>
      </c>
      <c r="D34" s="59" t="s">
        <v>292</v>
      </c>
      <c r="E34" s="90">
        <v>10</v>
      </c>
      <c r="F34" s="91">
        <v>1</v>
      </c>
      <c r="G34" s="25">
        <f>IFERROR(VLOOKUP(C34,'🥬 식재료 DB'!$C$7:$H$121,6,0),"")</f>
        <v>1</v>
      </c>
      <c r="H34" s="62">
        <f t="shared" si="1"/>
        <v>10</v>
      </c>
      <c r="I34" s="92"/>
      <c r="J34" s="92"/>
    </row>
    <row r="35" spans="2:11" ht="16.5" customHeight="1">
      <c r="B35" s="58">
        <v>5</v>
      </c>
      <c r="C35" s="6" t="s">
        <v>330</v>
      </c>
      <c r="D35" s="59" t="s">
        <v>292</v>
      </c>
      <c r="E35" s="60">
        <v>10</v>
      </c>
      <c r="F35" s="61">
        <v>1</v>
      </c>
      <c r="G35" s="25" t="str">
        <f>IFERROR(VLOOKUP(C35,'🥬 식재료 DB'!$C$7:$H$121,6,0),"")</f>
        <v/>
      </c>
      <c r="H35" s="62" t="str">
        <f t="shared" si="1"/>
        <v/>
      </c>
      <c r="I35" s="63"/>
      <c r="J35" s="63"/>
    </row>
    <row r="36" spans="2:11" ht="16.5" customHeight="1">
      <c r="B36" s="58">
        <v>6</v>
      </c>
      <c r="C36" s="68"/>
      <c r="D36" s="59" t="s">
        <v>292</v>
      </c>
      <c r="E36" s="69"/>
      <c r="F36" s="70"/>
      <c r="G36" s="25" t="str">
        <f>IFERROR(VLOOKUP(C36,'🥬 식재료 DB'!$C$7:$H$121,6,0),"")</f>
        <v/>
      </c>
      <c r="H36" s="62" t="str">
        <f t="shared" si="1"/>
        <v/>
      </c>
      <c r="I36" s="92"/>
      <c r="J36" s="92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92"/>
      <c r="J38" s="92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92"/>
      <c r="J40" s="92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92"/>
      <c r="J42" s="92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" t="s">
        <v>294</v>
      </c>
      <c r="D44" s="72" t="s">
        <v>295</v>
      </c>
      <c r="E44" s="60">
        <v>170</v>
      </c>
      <c r="F44" s="61">
        <v>1</v>
      </c>
      <c r="G44" s="73">
        <f>IFERROR(VLOOKUP(C44,'🧪 프렙 원가표'!$C$8:$D$18,2,0),IFERROR(VLOOKUP(C44,'🥬 식재료 DB'!$C$7:$H$121,6,0),""))</f>
        <v>2.9176237535612533</v>
      </c>
      <c r="H44" s="74">
        <f>IFERROR(IF(AND(C44&lt;&gt;"",ISNUMBER(E44),ISNUMBER(F44),F44&gt;0,ISNUMBER(G44)),E44/F44*G44,""),"")</f>
        <v>495.99603810541305</v>
      </c>
      <c r="I44" s="63"/>
      <c r="J44" s="63"/>
    </row>
    <row r="45" spans="2:11" ht="16.5" customHeight="1">
      <c r="B45" s="71">
        <v>14</v>
      </c>
      <c r="C45" s="68"/>
      <c r="D45" s="72" t="s">
        <v>295</v>
      </c>
      <c r="E45" s="69"/>
      <c r="F45" s="70"/>
      <c r="G45" s="73" t="str">
        <f>IFERROR(VLOOKUP(C45,'🧪 프렙 원가표'!$C$8:$D$18,2,0),IFERROR(VLOOKUP(C45,'🥬 식재료 DB'!$C$7:$H$121,6,0),""))</f>
        <v/>
      </c>
      <c r="H45" s="74" t="str">
        <f>IFERROR(IF(AND(C45&lt;&gt;"",ISNUMBER(E45),ISNUMBER(F45),F45&gt;0,ISNUMBER(G45)),E45/F45*G45,""),"")</f>
        <v/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331</v>
      </c>
      <c r="D50" s="50"/>
      <c r="E50" s="52">
        <v>13000</v>
      </c>
      <c r="F50" s="53">
        <f>IFERROR(SUM(H52,H53,H54,H55,H56,H57,H58,H59,H60,H61,H62,H63,H65,H66,H67,H68,H69),0)</f>
        <v>2029.3580840455843</v>
      </c>
      <c r="G50" s="54">
        <f>IFERROR(E50*'💰 고정비용 DB'!$D$22/'💰 고정비용 DB'!$D$25,0)</f>
        <v>8583.8618577410598</v>
      </c>
      <c r="H50" s="55">
        <f>IFERROR(G50-F50,"")</f>
        <v>6554.5037736954755</v>
      </c>
      <c r="I50" s="56">
        <f>IFERROR(H50/E50,"")</f>
        <v>0.50419259797657501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165</v>
      </c>
      <c r="D52" s="59" t="s">
        <v>292</v>
      </c>
      <c r="E52" s="60">
        <v>50</v>
      </c>
      <c r="F52" s="61">
        <v>1</v>
      </c>
      <c r="G52" s="25">
        <f>IFERROR(VLOOKUP(C52,'🥬 식재료 DB'!$C$7:$H$121,6,0),"")</f>
        <v>16.666666666666668</v>
      </c>
      <c r="H52" s="62">
        <f t="shared" ref="H52:H63" si="2">IFERROR(IF(AND(C52&lt;&gt;"",ISNUMBER(E52),ISNUMBER(F52),F52&gt;0,ISNUMBER(G52)),E52/F52*G52,""),"")</f>
        <v>833.33333333333337</v>
      </c>
      <c r="I52" s="63"/>
      <c r="J52" s="63"/>
    </row>
    <row r="53" spans="2:11" ht="16.5" customHeight="1">
      <c r="B53" s="58">
        <v>2</v>
      </c>
      <c r="C53" s="89" t="s">
        <v>227</v>
      </c>
      <c r="D53" s="59" t="s">
        <v>292</v>
      </c>
      <c r="E53" s="90">
        <v>10</v>
      </c>
      <c r="F53" s="91">
        <v>1</v>
      </c>
      <c r="G53" s="25">
        <f>IFERROR(VLOOKUP(C53,'🥬 식재료 DB'!$C$7:$H$121,6,0),"")</f>
        <v>6</v>
      </c>
      <c r="H53" s="62">
        <f t="shared" si="2"/>
        <v>60</v>
      </c>
      <c r="I53" s="92"/>
      <c r="J53" s="92"/>
    </row>
    <row r="54" spans="2:11" ht="16.5" customHeight="1">
      <c r="B54" s="58">
        <v>3</v>
      </c>
      <c r="C54" s="6" t="s">
        <v>215</v>
      </c>
      <c r="D54" s="59" t="s">
        <v>292</v>
      </c>
      <c r="E54" s="60">
        <v>10</v>
      </c>
      <c r="F54" s="61">
        <v>1</v>
      </c>
      <c r="G54" s="25">
        <f>IFERROR(VLOOKUP(C54,'🥬 식재료 DB'!$C$7:$H$121,6,0),"")</f>
        <v>4.25</v>
      </c>
      <c r="H54" s="62">
        <f t="shared" si="2"/>
        <v>42.5</v>
      </c>
      <c r="I54" s="63"/>
      <c r="J54" s="63"/>
    </row>
    <row r="55" spans="2:11" ht="16.5" customHeight="1">
      <c r="B55" s="58">
        <v>4</v>
      </c>
      <c r="C55" s="89" t="s">
        <v>168</v>
      </c>
      <c r="D55" s="59" t="s">
        <v>292</v>
      </c>
      <c r="E55" s="90">
        <v>10</v>
      </c>
      <c r="F55" s="91">
        <v>1</v>
      </c>
      <c r="G55" s="25">
        <f>IFERROR(VLOOKUP(C55,'🥬 식재료 DB'!$C$7:$H$121,6,0),"")</f>
        <v>1</v>
      </c>
      <c r="H55" s="62">
        <f t="shared" si="2"/>
        <v>10</v>
      </c>
      <c r="I55" s="92"/>
      <c r="J55" s="92"/>
    </row>
    <row r="56" spans="2:11" ht="16.5" customHeight="1">
      <c r="B56" s="58">
        <v>5</v>
      </c>
      <c r="C56" s="6" t="s">
        <v>146</v>
      </c>
      <c r="D56" s="59" t="s">
        <v>292</v>
      </c>
      <c r="E56" s="60">
        <v>10</v>
      </c>
      <c r="F56" s="61">
        <v>1</v>
      </c>
      <c r="G56" s="25">
        <f>IFERROR(VLOOKUP(C56,'🥬 식재료 DB'!$C$7:$H$121,6,0),"")</f>
        <v>18</v>
      </c>
      <c r="H56" s="62">
        <f t="shared" si="2"/>
        <v>180</v>
      </c>
      <c r="I56" s="63"/>
      <c r="J56" s="63"/>
    </row>
    <row r="57" spans="2:11" ht="16.5" customHeight="1">
      <c r="B57" s="58">
        <v>6</v>
      </c>
      <c r="C57" s="89" t="s">
        <v>236</v>
      </c>
      <c r="D57" s="59" t="s">
        <v>292</v>
      </c>
      <c r="E57" s="90">
        <v>15</v>
      </c>
      <c r="F57" s="91">
        <v>1</v>
      </c>
      <c r="G57" s="25">
        <f>IFERROR(VLOOKUP(C57,'🥬 식재료 DB'!$C$7:$H$121,6,0),"")</f>
        <v>14</v>
      </c>
      <c r="H57" s="62">
        <f t="shared" si="2"/>
        <v>210</v>
      </c>
      <c r="I57" s="92"/>
      <c r="J57" s="92"/>
    </row>
    <row r="58" spans="2:11" ht="16.5" customHeight="1">
      <c r="B58" s="58">
        <v>7</v>
      </c>
      <c r="C58" s="68"/>
      <c r="D58" s="59" t="s">
        <v>292</v>
      </c>
      <c r="E58" s="69"/>
      <c r="F58" s="70"/>
      <c r="G58" s="25" t="str">
        <f>IFERROR(VLOOKUP(C58,'🥬 식재료 DB'!$C$7:$H$121,6,0),"")</f>
        <v/>
      </c>
      <c r="H58" s="62" t="str">
        <f t="shared" si="2"/>
        <v/>
      </c>
      <c r="I58" s="63"/>
      <c r="J58" s="63"/>
    </row>
    <row r="59" spans="2:11" ht="16.5" customHeight="1">
      <c r="B59" s="58">
        <v>8</v>
      </c>
      <c r="C59" s="68"/>
      <c r="D59" s="59" t="s">
        <v>292</v>
      </c>
      <c r="E59" s="69"/>
      <c r="F59" s="70"/>
      <c r="G59" s="25" t="str">
        <f>IFERROR(VLOOKUP(C59,'🥬 식재료 DB'!$C$7:$H$121,6,0),"")</f>
        <v/>
      </c>
      <c r="H59" s="62" t="str">
        <f t="shared" si="2"/>
        <v/>
      </c>
      <c r="I59" s="92"/>
      <c r="J59" s="92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92"/>
      <c r="J61" s="92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92"/>
      <c r="J63" s="92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" t="s">
        <v>294</v>
      </c>
      <c r="D65" s="72" t="s">
        <v>295</v>
      </c>
      <c r="E65" s="60">
        <v>200</v>
      </c>
      <c r="F65" s="61">
        <v>1</v>
      </c>
      <c r="G65" s="73">
        <f>IFERROR(VLOOKUP(C65,'🧪 프렙 원가표'!$C$8:$D$18,2,0),IFERROR(VLOOKUP(C65,'🥬 식재료 DB'!$C$7:$H$121,6,0),""))</f>
        <v>2.9176237535612533</v>
      </c>
      <c r="H65" s="74">
        <f>IFERROR(IF(AND(C65&lt;&gt;"",ISNUMBER(E65),ISNUMBER(F65),F65&gt;0,ISNUMBER(G65)),E65/F65*G65,""),"")</f>
        <v>583.52475071225069</v>
      </c>
      <c r="I65" s="63"/>
      <c r="J65" s="63"/>
    </row>
    <row r="66" spans="2:11" ht="16.5" customHeight="1">
      <c r="B66" s="71">
        <v>14</v>
      </c>
      <c r="C66" s="12" t="s">
        <v>296</v>
      </c>
      <c r="D66" s="72" t="s">
        <v>295</v>
      </c>
      <c r="E66" s="75">
        <v>10</v>
      </c>
      <c r="F66" s="76">
        <v>1</v>
      </c>
      <c r="G66" s="73">
        <f>IFERROR(VLOOKUP(C66,'🧪 프렙 원가표'!$C$8:$D$18,2,0),IFERROR(VLOOKUP(C66,'🥬 식재료 DB'!$C$7:$H$121,6,0),""))</f>
        <v>11</v>
      </c>
      <c r="H66" s="74">
        <f>IFERROR(IF(AND(C66&lt;&gt;"",ISNUMBER(E66),ISNUMBER(F66),F66&gt;0,ISNUMBER(G66)),E66/F66*G66,""),"")</f>
        <v>110</v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332</v>
      </c>
      <c r="D71" s="50"/>
      <c r="E71" s="52">
        <v>15000</v>
      </c>
      <c r="F71" s="53">
        <f>IFERROR(SUM(H73,H74,H75,H76,H77,H78,H79,H80,H81,H82,H83,H84,H86,H87,H88,H89,H90),0)</f>
        <v>1877.6914173789173</v>
      </c>
      <c r="G71" s="54">
        <f>IFERROR(E71*'💰 고정비용 DB'!$D$22/'💰 고정비용 DB'!$D$25,0)</f>
        <v>9904.4559897012223</v>
      </c>
      <c r="H71" s="55">
        <f>IFERROR(G71-F71,"")</f>
        <v>8026.764572322305</v>
      </c>
      <c r="I71" s="56">
        <f>IFERROR(H71/E71,"")</f>
        <v>0.53511763815482039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166</v>
      </c>
      <c r="D73" s="59" t="s">
        <v>292</v>
      </c>
      <c r="E73" s="60">
        <v>100</v>
      </c>
      <c r="F73" s="61">
        <v>1</v>
      </c>
      <c r="G73" s="25">
        <f>IFERROR(VLOOKUP(C73,'🥬 식재료 DB'!$C$7:$H$121,6,0),"")</f>
        <v>7.916666666666667</v>
      </c>
      <c r="H73" s="62">
        <f t="shared" ref="H73:H84" si="3">IFERROR(IF(AND(C73&lt;&gt;"",ISNUMBER(E73),ISNUMBER(F73),F73&gt;0,ISNUMBER(G73)),E73/F73*G73,""),"")</f>
        <v>791.66666666666674</v>
      </c>
      <c r="I73" s="63"/>
      <c r="J73" s="63"/>
    </row>
    <row r="74" spans="2:11" ht="16.5" customHeight="1">
      <c r="B74" s="58">
        <v>2</v>
      </c>
      <c r="C74" s="89" t="s">
        <v>227</v>
      </c>
      <c r="D74" s="59" t="s">
        <v>292</v>
      </c>
      <c r="E74" s="90">
        <v>10</v>
      </c>
      <c r="F74" s="91">
        <v>1</v>
      </c>
      <c r="G74" s="25">
        <f>IFERROR(VLOOKUP(C74,'🥬 식재료 DB'!$C$7:$H$121,6,0),"")</f>
        <v>6</v>
      </c>
      <c r="H74" s="62">
        <f t="shared" si="3"/>
        <v>60</v>
      </c>
      <c r="I74" s="92"/>
      <c r="J74" s="92"/>
    </row>
    <row r="75" spans="2:11" ht="16.5" customHeight="1">
      <c r="B75" s="58">
        <v>3</v>
      </c>
      <c r="C75" s="6" t="s">
        <v>215</v>
      </c>
      <c r="D75" s="59" t="s">
        <v>292</v>
      </c>
      <c r="E75" s="60">
        <v>10</v>
      </c>
      <c r="F75" s="61">
        <v>1</v>
      </c>
      <c r="G75" s="25">
        <f>IFERROR(VLOOKUP(C75,'🥬 식재료 DB'!$C$7:$H$121,6,0),"")</f>
        <v>4.25</v>
      </c>
      <c r="H75" s="62">
        <f t="shared" si="3"/>
        <v>42.5</v>
      </c>
      <c r="I75" s="63"/>
      <c r="J75" s="63"/>
    </row>
    <row r="76" spans="2:11" ht="16.5" customHeight="1">
      <c r="B76" s="58">
        <v>4</v>
      </c>
      <c r="C76" s="89" t="s">
        <v>168</v>
      </c>
      <c r="D76" s="59" t="s">
        <v>292</v>
      </c>
      <c r="E76" s="90">
        <v>10</v>
      </c>
      <c r="F76" s="91">
        <v>1</v>
      </c>
      <c r="G76" s="25">
        <f>IFERROR(VLOOKUP(C76,'🥬 식재료 DB'!$C$7:$H$121,6,0),"")</f>
        <v>1</v>
      </c>
      <c r="H76" s="62">
        <f t="shared" si="3"/>
        <v>10</v>
      </c>
      <c r="I76" s="92"/>
      <c r="J76" s="92"/>
    </row>
    <row r="77" spans="2:11" ht="16.5" customHeight="1">
      <c r="B77" s="58">
        <v>5</v>
      </c>
      <c r="C77" s="6" t="s">
        <v>146</v>
      </c>
      <c r="D77" s="59" t="s">
        <v>292</v>
      </c>
      <c r="E77" s="60">
        <v>10</v>
      </c>
      <c r="F77" s="61">
        <v>1</v>
      </c>
      <c r="G77" s="25">
        <f>IFERROR(VLOOKUP(C77,'🥬 식재료 DB'!$C$7:$H$121,6,0),"")</f>
        <v>18</v>
      </c>
      <c r="H77" s="62">
        <f t="shared" si="3"/>
        <v>180</v>
      </c>
      <c r="I77" s="63"/>
      <c r="J77" s="63"/>
    </row>
    <row r="78" spans="2:11" ht="16.5" customHeight="1">
      <c r="B78" s="58">
        <v>6</v>
      </c>
      <c r="C78" s="89" t="s">
        <v>236</v>
      </c>
      <c r="D78" s="59" t="s">
        <v>292</v>
      </c>
      <c r="E78" s="90">
        <v>15</v>
      </c>
      <c r="F78" s="91">
        <v>1</v>
      </c>
      <c r="G78" s="25">
        <f>IFERROR(VLOOKUP(C78,'🥬 식재료 DB'!$C$7:$H$121,6,0),"")</f>
        <v>14</v>
      </c>
      <c r="H78" s="62">
        <f t="shared" si="3"/>
        <v>210</v>
      </c>
      <c r="I78" s="92"/>
      <c r="J78" s="92"/>
    </row>
    <row r="79" spans="2:11" ht="16.5" customHeight="1">
      <c r="B79" s="58">
        <v>7</v>
      </c>
      <c r="C79" s="68"/>
      <c r="D79" s="59" t="s">
        <v>292</v>
      </c>
      <c r="E79" s="69"/>
      <c r="F79" s="70"/>
      <c r="G79" s="25" t="str">
        <f>IFERROR(VLOOKUP(C79,'🥬 식재료 DB'!$C$7:$H$121,6,0),"")</f>
        <v/>
      </c>
      <c r="H79" s="62" t="str">
        <f t="shared" si="3"/>
        <v/>
      </c>
      <c r="I79" s="63"/>
      <c r="J79" s="63"/>
    </row>
    <row r="80" spans="2:11" ht="16.5" customHeight="1">
      <c r="B80" s="58">
        <v>8</v>
      </c>
      <c r="C80" s="68"/>
      <c r="D80" s="59" t="s">
        <v>292</v>
      </c>
      <c r="E80" s="69"/>
      <c r="F80" s="70"/>
      <c r="G80" s="25" t="str">
        <f>IFERROR(VLOOKUP(C80,'🥬 식재료 DB'!$C$7:$H$121,6,0),"")</f>
        <v/>
      </c>
      <c r="H80" s="62" t="str">
        <f t="shared" si="3"/>
        <v/>
      </c>
      <c r="I80" s="92"/>
      <c r="J80" s="92"/>
    </row>
    <row r="81" spans="2:11" ht="16.5" customHeight="1">
      <c r="B81" s="58">
        <v>9</v>
      </c>
      <c r="C81" s="68"/>
      <c r="D81" s="59" t="s">
        <v>292</v>
      </c>
      <c r="E81" s="69"/>
      <c r="F81" s="70"/>
      <c r="G81" s="25" t="str">
        <f>IFERROR(VLOOKUP(C81,'🥬 식재료 DB'!$C$7:$H$121,6,0),"")</f>
        <v/>
      </c>
      <c r="H81" s="62" t="str">
        <f t="shared" si="3"/>
        <v/>
      </c>
      <c r="I81" s="63"/>
      <c r="J81" s="63"/>
    </row>
    <row r="82" spans="2:11" ht="16.5" customHeight="1">
      <c r="B82" s="58">
        <v>10</v>
      </c>
      <c r="C82" s="68"/>
      <c r="D82" s="59" t="s">
        <v>292</v>
      </c>
      <c r="E82" s="69"/>
      <c r="F82" s="70"/>
      <c r="G82" s="25" t="str">
        <f>IFERROR(VLOOKUP(C82,'🥬 식재료 DB'!$C$7:$H$121,6,0),"")</f>
        <v/>
      </c>
      <c r="H82" s="62" t="str">
        <f t="shared" si="3"/>
        <v/>
      </c>
      <c r="I82" s="92"/>
      <c r="J82" s="92"/>
    </row>
    <row r="83" spans="2:11" ht="16.5" customHeight="1">
      <c r="B83" s="58">
        <v>11</v>
      </c>
      <c r="C83" s="68"/>
      <c r="D83" s="59" t="s">
        <v>292</v>
      </c>
      <c r="E83" s="69"/>
      <c r="F83" s="70"/>
      <c r="G83" s="25" t="str">
        <f>IFERROR(VLOOKUP(C83,'🥬 식재료 DB'!$C$7:$H$121,6,0),"")</f>
        <v/>
      </c>
      <c r="H83" s="62" t="str">
        <f t="shared" si="3"/>
        <v/>
      </c>
      <c r="I83" s="63"/>
      <c r="J83" s="63"/>
    </row>
    <row r="84" spans="2:11" ht="16.5" customHeight="1">
      <c r="B84" s="58">
        <v>12</v>
      </c>
      <c r="C84" s="68"/>
      <c r="D84" s="59" t="s">
        <v>292</v>
      </c>
      <c r="E84" s="69"/>
      <c r="F84" s="70"/>
      <c r="G84" s="25" t="str">
        <f>IFERROR(VLOOKUP(C84,'🥬 식재료 DB'!$C$7:$H$121,6,0),"")</f>
        <v/>
      </c>
      <c r="H84" s="62" t="str">
        <f t="shared" si="3"/>
        <v/>
      </c>
      <c r="I84" s="92"/>
      <c r="J84" s="92"/>
    </row>
    <row r="85" spans="2:11" ht="12.75" customHeight="1">
      <c r="B85" s="203" t="s">
        <v>293</v>
      </c>
      <c r="C85" s="203"/>
      <c r="D85" s="203"/>
      <c r="E85" s="203"/>
      <c r="F85" s="203"/>
      <c r="G85" s="203"/>
      <c r="H85" s="203"/>
      <c r="I85" s="203"/>
      <c r="J85" s="203"/>
      <c r="K85" s="203"/>
    </row>
    <row r="86" spans="2:11" ht="16.5" customHeight="1">
      <c r="B86" s="71">
        <v>13</v>
      </c>
      <c r="C86" s="6" t="s">
        <v>294</v>
      </c>
      <c r="D86" s="72" t="s">
        <v>295</v>
      </c>
      <c r="E86" s="60">
        <v>200</v>
      </c>
      <c r="F86" s="61">
        <v>1</v>
      </c>
      <c r="G86" s="73">
        <f>IFERROR(VLOOKUP(C86,'🧪 프렙 원가표'!$C$8:$D$18,2,0),IFERROR(VLOOKUP(C86,'🥬 식재료 DB'!$C$7:$H$121,6,0),""))</f>
        <v>2.9176237535612533</v>
      </c>
      <c r="H86" s="74">
        <f>IFERROR(IF(AND(C86&lt;&gt;"",ISNUMBER(E86),ISNUMBER(F86),F86&gt;0,ISNUMBER(G86)),E86/F86*G86,""),"")</f>
        <v>583.52475071225069</v>
      </c>
      <c r="I86" s="63"/>
      <c r="J86" s="63"/>
    </row>
    <row r="87" spans="2:11" ht="16.5" customHeight="1">
      <c r="B87" s="71">
        <v>14</v>
      </c>
      <c r="C87" s="68"/>
      <c r="D87" s="72" t="s">
        <v>295</v>
      </c>
      <c r="E87" s="69"/>
      <c r="F87" s="70"/>
      <c r="G87" s="73" t="str">
        <f>IFERROR(VLOOKUP(C87,'🧪 프렙 원가표'!$C$8:$D$18,2,0),IFERROR(VLOOKUP(C87,'🥬 식재료 DB'!$C$7:$H$121,6,0),""))</f>
        <v/>
      </c>
      <c r="H87" s="74" t="str">
        <f>IFERROR(IF(AND(C87&lt;&gt;"",ISNUMBER(E87),ISNUMBER(F87),F87&gt;0,ISNUMBER(G87)),E87/F87*G87,""),"")</f>
        <v/>
      </c>
      <c r="I87" s="77"/>
      <c r="J87" s="77"/>
    </row>
    <row r="88" spans="2:11" ht="16.5" customHeight="1">
      <c r="B88" s="71">
        <v>15</v>
      </c>
      <c r="C88" s="68"/>
      <c r="D88" s="72" t="s">
        <v>295</v>
      </c>
      <c r="E88" s="69"/>
      <c r="F88" s="70"/>
      <c r="G88" s="73" t="str">
        <f>IFERROR(VLOOKUP(C88,'🧪 프렙 원가표'!$C$8:$D$18,2,0),IFERROR(VLOOKUP(C88,'🥬 식재료 DB'!$C$7:$H$121,6,0),""))</f>
        <v/>
      </c>
      <c r="H88" s="74" t="str">
        <f>IFERROR(IF(AND(C88&lt;&gt;"",ISNUMBER(E88),ISNUMBER(F88),F88&gt;0,ISNUMBER(G88)),E88/F88*G88,""),"")</f>
        <v/>
      </c>
      <c r="I88" s="63"/>
      <c r="J88" s="63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77"/>
      <c r="J89" s="77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63"/>
      <c r="J90" s="63"/>
    </row>
    <row r="91" spans="2:11" ht="3.75" customHeight="1">
      <c r="B91" s="78"/>
      <c r="C91" s="78"/>
      <c r="D91" s="78"/>
      <c r="E91" s="78"/>
      <c r="F91" s="78"/>
      <c r="G91" s="78"/>
      <c r="H91" s="78"/>
      <c r="I91" s="78"/>
      <c r="J91" s="78"/>
      <c r="K91" s="78"/>
    </row>
  </sheetData>
  <mergeCells count="11">
    <mergeCell ref="B2:K2"/>
    <mergeCell ref="B4:K4"/>
    <mergeCell ref="B5:K5"/>
    <mergeCell ref="B9:K9"/>
    <mergeCell ref="B22:K22"/>
    <mergeCell ref="B85:K85"/>
    <mergeCell ref="B30:K30"/>
    <mergeCell ref="B43:K43"/>
    <mergeCell ref="B51:K51"/>
    <mergeCell ref="B64:K64"/>
    <mergeCell ref="B72:K72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K280"/>
  <sheetViews>
    <sheetView showGridLines="0" zoomScaleNormal="100" workbookViewId="0">
      <pane xSplit="2" ySplit="7" topLeftCell="C272" activePane="bottomRight" state="frozen"/>
      <selection pane="topRight" activeCell="C1" sqref="C1"/>
      <selection pane="bottomLeft" activeCell="A8" sqref="A8"/>
      <selection pane="bottomRight" activeCell="H260" sqref="H260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09" t="s">
        <v>333</v>
      </c>
      <c r="C2" s="209"/>
      <c r="D2" s="209"/>
      <c r="E2" s="209"/>
      <c r="F2" s="209"/>
      <c r="G2" s="209"/>
      <c r="H2" s="209"/>
      <c r="I2" s="209"/>
      <c r="J2" s="209"/>
      <c r="K2" s="209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93" t="s">
        <v>6</v>
      </c>
      <c r="C7" s="94" t="s">
        <v>130</v>
      </c>
      <c r="D7" s="94" t="s">
        <v>284</v>
      </c>
      <c r="E7" s="94" t="s">
        <v>285</v>
      </c>
      <c r="F7" s="94" t="s">
        <v>286</v>
      </c>
      <c r="G7" s="93" t="s">
        <v>287</v>
      </c>
      <c r="H7" s="94" t="s">
        <v>288</v>
      </c>
      <c r="I7" s="94" t="s">
        <v>289</v>
      </c>
    </row>
    <row r="8" spans="2:11" ht="27" customHeight="1">
      <c r="B8" s="50"/>
      <c r="C8" s="51" t="s">
        <v>334</v>
      </c>
      <c r="D8" s="50"/>
      <c r="E8" s="52">
        <v>13000</v>
      </c>
      <c r="F8" s="53">
        <f>IFERROR(SUM(H10,H11,H12,H13,H14,H15,H16,H17,H18,H19,H20,H21,H23,H24,H25,H26,H27),0)</f>
        <v>1411.8471191333033</v>
      </c>
      <c r="G8" s="54">
        <f>IFERROR(E8*'💰 고정비용 DB'!$D$22/'💰 고정비용 DB'!$D$25,0)</f>
        <v>8583.8618577410598</v>
      </c>
      <c r="H8" s="55">
        <f>IFERROR(G8-F8,"")</f>
        <v>7172.014738607757</v>
      </c>
      <c r="I8" s="56">
        <f>IFERROR(H8/E8,"")</f>
        <v>0.55169344143136589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141</v>
      </c>
      <c r="D10" s="59" t="s">
        <v>292</v>
      </c>
      <c r="E10" s="60">
        <v>50</v>
      </c>
      <c r="F10" s="61">
        <v>1</v>
      </c>
      <c r="G10" s="25">
        <f>IFERROR(VLOOKUP(C10,'🥬 식재료 DB'!$C$7:$H$121,6,0),"")</f>
        <v>1.75</v>
      </c>
      <c r="H10" s="62">
        <f t="shared" ref="H10:H21" si="0">IFERROR(IF(AND(C10&lt;&gt;"",ISNUMBER(E10),ISNUMBER(F10),F10&gt;0,ISNUMBER(G10)),E10/F10*G10,""),"")</f>
        <v>87.5</v>
      </c>
      <c r="I10" s="63"/>
      <c r="J10" s="63"/>
    </row>
    <row r="11" spans="2:11" ht="16.5" customHeight="1">
      <c r="B11" s="58">
        <v>2</v>
      </c>
      <c r="C11" s="95" t="s">
        <v>206</v>
      </c>
      <c r="D11" s="59" t="s">
        <v>292</v>
      </c>
      <c r="E11" s="96">
        <v>10</v>
      </c>
      <c r="F11" s="97">
        <v>1</v>
      </c>
      <c r="G11" s="25">
        <f>IFERROR(VLOOKUP(C11,'🥬 식재료 DB'!$C$7:$H$121,6,0),"")</f>
        <v>12.894736842105264</v>
      </c>
      <c r="H11" s="62">
        <f t="shared" si="0"/>
        <v>128.94736842105263</v>
      </c>
      <c r="I11" s="98"/>
      <c r="J11" s="98"/>
    </row>
    <row r="12" spans="2:11" ht="16.5" customHeight="1">
      <c r="B12" s="58">
        <v>3</v>
      </c>
      <c r="C12" s="6" t="s">
        <v>136</v>
      </c>
      <c r="D12" s="59" t="s">
        <v>292</v>
      </c>
      <c r="E12" s="60">
        <v>5</v>
      </c>
      <c r="F12" s="61">
        <v>1</v>
      </c>
      <c r="G12" s="25">
        <f>IFERROR(VLOOKUP(C12,'🥬 식재료 DB'!$C$7:$H$121,6,0),"")</f>
        <v>0.75</v>
      </c>
      <c r="H12" s="62">
        <f t="shared" si="0"/>
        <v>3.75</v>
      </c>
      <c r="I12" s="63"/>
      <c r="J12" s="63"/>
    </row>
    <row r="13" spans="2:11" ht="16.5" customHeight="1">
      <c r="B13" s="58">
        <v>4</v>
      </c>
      <c r="C13" s="95" t="s">
        <v>227</v>
      </c>
      <c r="D13" s="59" t="s">
        <v>292</v>
      </c>
      <c r="E13" s="96">
        <v>10</v>
      </c>
      <c r="F13" s="97">
        <v>1</v>
      </c>
      <c r="G13" s="25">
        <f>IFERROR(VLOOKUP(C13,'🥬 식재료 DB'!$C$7:$H$121,6,0),"")</f>
        <v>6</v>
      </c>
      <c r="H13" s="62">
        <f t="shared" si="0"/>
        <v>60</v>
      </c>
      <c r="I13" s="98"/>
      <c r="J13" s="98"/>
    </row>
    <row r="14" spans="2:11" ht="16.5" customHeight="1">
      <c r="B14" s="58">
        <v>5</v>
      </c>
      <c r="C14" s="6" t="s">
        <v>169</v>
      </c>
      <c r="D14" s="59" t="s">
        <v>292</v>
      </c>
      <c r="E14" s="60">
        <v>30</v>
      </c>
      <c r="F14" s="61">
        <v>1</v>
      </c>
      <c r="G14" s="25">
        <f>IFERROR(VLOOKUP(C14,'🥬 식재료 DB'!$C$7:$H$121,6,0),"")</f>
        <v>1.3333333333333333</v>
      </c>
      <c r="H14" s="62">
        <f t="shared" si="0"/>
        <v>40</v>
      </c>
      <c r="I14" s="63"/>
      <c r="J14" s="63"/>
    </row>
    <row r="15" spans="2:11" ht="16.5" customHeight="1">
      <c r="B15" s="58">
        <v>6</v>
      </c>
      <c r="C15" s="95" t="s">
        <v>215</v>
      </c>
      <c r="D15" s="59" t="s">
        <v>292</v>
      </c>
      <c r="E15" s="96">
        <v>30</v>
      </c>
      <c r="F15" s="97">
        <v>1</v>
      </c>
      <c r="G15" s="25">
        <f>IFERROR(VLOOKUP(C15,'🥬 식재료 DB'!$C$7:$H$121,6,0),"")</f>
        <v>4.25</v>
      </c>
      <c r="H15" s="62">
        <f t="shared" si="0"/>
        <v>127.5</v>
      </c>
      <c r="I15" s="98"/>
      <c r="J15" s="98"/>
    </row>
    <row r="16" spans="2:11" ht="16.5" customHeight="1">
      <c r="B16" s="58">
        <v>7</v>
      </c>
      <c r="C16" s="6" t="s">
        <v>168</v>
      </c>
      <c r="D16" s="59" t="s">
        <v>292</v>
      </c>
      <c r="E16" s="60">
        <v>15</v>
      </c>
      <c r="F16" s="61">
        <v>1</v>
      </c>
      <c r="G16" s="25">
        <f>IFERROR(VLOOKUP(C16,'🥬 식재료 DB'!$C$7:$H$121,6,0),"")</f>
        <v>1</v>
      </c>
      <c r="H16" s="62">
        <f t="shared" si="0"/>
        <v>15</v>
      </c>
      <c r="I16" s="63"/>
      <c r="J16" s="63"/>
    </row>
    <row r="17" spans="2:11" ht="16.5" customHeight="1">
      <c r="B17" s="58">
        <v>8</v>
      </c>
      <c r="C17" s="99" t="s">
        <v>182</v>
      </c>
      <c r="D17" s="59" t="s">
        <v>292</v>
      </c>
      <c r="E17" s="96">
        <v>5</v>
      </c>
      <c r="F17" s="97">
        <v>1</v>
      </c>
      <c r="G17" s="25">
        <f>IFERROR(VLOOKUP(C17,'🥬 식재료 DB'!$C$7:$H$121,6,0),"")</f>
        <v>18.125</v>
      </c>
      <c r="H17" s="62">
        <f t="shared" si="0"/>
        <v>90.625</v>
      </c>
      <c r="I17" s="98"/>
      <c r="J17" s="98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98"/>
      <c r="J19" s="98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98"/>
      <c r="J21" s="98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" t="s">
        <v>294</v>
      </c>
      <c r="D23" s="72" t="s">
        <v>295</v>
      </c>
      <c r="E23" s="60">
        <v>200</v>
      </c>
      <c r="F23" s="61">
        <v>1</v>
      </c>
      <c r="G23" s="73">
        <f>IFERROR(VLOOKUP(C23,'🧪 프렙 원가표'!$C$8:$D$18,2,0),IFERROR(VLOOKUP(C23,'🥬 식재료 DB'!$C$7:$H$121,6,0),""))</f>
        <v>2.9176237535612533</v>
      </c>
      <c r="H23" s="74">
        <f>IFERROR(IF(AND(C23&lt;&gt;"",ISNUMBER(E23),ISNUMBER(F23),F23&gt;0,ISNUMBER(G23)),E23/F23*G23,""),"")</f>
        <v>583.52475071225069</v>
      </c>
      <c r="I23" s="63"/>
      <c r="J23" s="63"/>
    </row>
    <row r="24" spans="2:11" ht="16.5" customHeight="1">
      <c r="B24" s="71">
        <v>14</v>
      </c>
      <c r="C24" s="12" t="s">
        <v>296</v>
      </c>
      <c r="D24" s="72" t="s">
        <v>295</v>
      </c>
      <c r="E24" s="75">
        <v>25</v>
      </c>
      <c r="F24" s="76">
        <v>1</v>
      </c>
      <c r="G24" s="73">
        <f>IFERROR(VLOOKUP(C24,'🧪 프렙 원가표'!$C$8:$D$18,2,0),IFERROR(VLOOKUP(C24,'🥬 식재료 DB'!$C$7:$H$121,6,0),""))</f>
        <v>11</v>
      </c>
      <c r="H24" s="74">
        <f>IFERROR(IF(AND(C24&lt;&gt;"",ISNUMBER(E24),ISNUMBER(F24),F24&gt;0,ISNUMBER(G24)),E24/F24*G24,""),"")</f>
        <v>275</v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335</v>
      </c>
      <c r="D29" s="50"/>
      <c r="E29" s="52">
        <v>13000</v>
      </c>
      <c r="F29" s="53">
        <f>IFERROR(SUM(H31,H32,H33,H34,H35,H36,H37,H38,H39,H40,H41,H42,H44,H45,H46,H47,H48),0)</f>
        <v>1612.2747507122508</v>
      </c>
      <c r="G29" s="54">
        <f>IFERROR(E29*'💰 고정비용 DB'!$D$22/'💰 고정비용 DB'!$D$25,0)</f>
        <v>8583.8618577410598</v>
      </c>
      <c r="H29" s="55">
        <f>IFERROR(G29-F29,"")</f>
        <v>6971.5871070288085</v>
      </c>
      <c r="I29" s="56">
        <f>IFERROR(H29/E29,"")</f>
        <v>0.53627593130990836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227</v>
      </c>
      <c r="D31" s="59" t="s">
        <v>292</v>
      </c>
      <c r="E31" s="60">
        <v>10</v>
      </c>
      <c r="F31" s="61">
        <v>1</v>
      </c>
      <c r="G31" s="25">
        <f>IFERROR(VLOOKUP(C31,'🥬 식재료 DB'!$C$7:$H$121,6,0),"")</f>
        <v>6</v>
      </c>
      <c r="H31" s="62">
        <f t="shared" ref="H31:H42" si="1">IFERROR(IF(AND(C31&lt;&gt;"",ISNUMBER(E31),ISNUMBER(F31),F31&gt;0,ISNUMBER(G31)),E31/F31*G31,""),"")</f>
        <v>60</v>
      </c>
      <c r="I31" s="63"/>
      <c r="J31" s="63"/>
    </row>
    <row r="32" spans="2:11" ht="16.5" customHeight="1">
      <c r="B32" s="58">
        <v>2</v>
      </c>
      <c r="C32" s="95" t="s">
        <v>169</v>
      </c>
      <c r="D32" s="59" t="s">
        <v>292</v>
      </c>
      <c r="E32" s="96">
        <v>30</v>
      </c>
      <c r="F32" s="97">
        <v>1</v>
      </c>
      <c r="G32" s="25">
        <f>IFERROR(VLOOKUP(C32,'🥬 식재료 DB'!$C$7:$H$121,6,0),"")</f>
        <v>1.3333333333333333</v>
      </c>
      <c r="H32" s="62">
        <f t="shared" si="1"/>
        <v>40</v>
      </c>
      <c r="I32" s="98"/>
      <c r="J32" s="98"/>
    </row>
    <row r="33" spans="2:11" ht="16.5" customHeight="1">
      <c r="B33" s="58">
        <v>3</v>
      </c>
      <c r="C33" s="6" t="s">
        <v>215</v>
      </c>
      <c r="D33" s="59" t="s">
        <v>292</v>
      </c>
      <c r="E33" s="60">
        <v>30</v>
      </c>
      <c r="F33" s="61">
        <v>1</v>
      </c>
      <c r="G33" s="25">
        <f>IFERROR(VLOOKUP(C33,'🥬 식재료 DB'!$C$7:$H$121,6,0),"")</f>
        <v>4.25</v>
      </c>
      <c r="H33" s="62">
        <f t="shared" si="1"/>
        <v>127.5</v>
      </c>
      <c r="I33" s="63"/>
      <c r="J33" s="63"/>
    </row>
    <row r="34" spans="2:11" ht="16.5" customHeight="1">
      <c r="B34" s="58">
        <v>4</v>
      </c>
      <c r="C34" s="95" t="s">
        <v>168</v>
      </c>
      <c r="D34" s="59" t="s">
        <v>292</v>
      </c>
      <c r="E34" s="96">
        <v>15</v>
      </c>
      <c r="F34" s="97">
        <v>1</v>
      </c>
      <c r="G34" s="25">
        <f>IFERROR(VLOOKUP(C34,'🥬 식재료 DB'!$C$7:$H$121,6,0),"")</f>
        <v>1</v>
      </c>
      <c r="H34" s="62">
        <f t="shared" si="1"/>
        <v>15</v>
      </c>
      <c r="I34" s="98"/>
      <c r="J34" s="98"/>
    </row>
    <row r="35" spans="2:11" ht="16.5" customHeight="1">
      <c r="B35" s="58">
        <v>5</v>
      </c>
      <c r="C35" s="17" t="s">
        <v>182</v>
      </c>
      <c r="D35" s="59" t="s">
        <v>292</v>
      </c>
      <c r="E35" s="60">
        <v>10</v>
      </c>
      <c r="F35" s="61">
        <v>1</v>
      </c>
      <c r="G35" s="25">
        <f>IFERROR(VLOOKUP(C35,'🥬 식재료 DB'!$C$7:$H$121,6,0),"")</f>
        <v>18.125</v>
      </c>
      <c r="H35" s="62">
        <f t="shared" si="1"/>
        <v>181.25</v>
      </c>
      <c r="I35" s="63"/>
      <c r="J35" s="63"/>
    </row>
    <row r="36" spans="2:11" ht="16.5" customHeight="1">
      <c r="B36" s="58">
        <v>6</v>
      </c>
      <c r="C36" s="68"/>
      <c r="D36" s="59" t="s">
        <v>292</v>
      </c>
      <c r="E36" s="69"/>
      <c r="F36" s="70"/>
      <c r="G36" s="25" t="str">
        <f>IFERROR(VLOOKUP(C36,'🥬 식재료 DB'!$C$7:$H$121,6,0),"")</f>
        <v/>
      </c>
      <c r="H36" s="62" t="str">
        <f t="shared" si="1"/>
        <v/>
      </c>
      <c r="I36" s="98"/>
      <c r="J36" s="98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98"/>
      <c r="J38" s="98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98"/>
      <c r="J40" s="98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98"/>
      <c r="J42" s="98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" t="s">
        <v>296</v>
      </c>
      <c r="D44" s="72" t="s">
        <v>295</v>
      </c>
      <c r="E44" s="60">
        <v>55</v>
      </c>
      <c r="F44" s="61">
        <v>1</v>
      </c>
      <c r="G44" s="73">
        <f>IFERROR(VLOOKUP(C44,'🧪 프렙 원가표'!$C$8:$D$18,2,0),IFERROR(VLOOKUP(C44,'🥬 식재료 DB'!$C$7:$H$121,6,0),""))</f>
        <v>11</v>
      </c>
      <c r="H44" s="74">
        <f>IFERROR(IF(AND(C44&lt;&gt;"",ISNUMBER(E44),ISNUMBER(F44),F44&gt;0,ISNUMBER(G44)),E44/F44*G44,""),"")</f>
        <v>605</v>
      </c>
      <c r="I44" s="63"/>
      <c r="J44" s="63"/>
    </row>
    <row r="45" spans="2:11" ht="16.5" customHeight="1">
      <c r="B45" s="71">
        <v>14</v>
      </c>
      <c r="C45" s="12" t="s">
        <v>294</v>
      </c>
      <c r="D45" s="72" t="s">
        <v>295</v>
      </c>
      <c r="E45" s="75">
        <v>200</v>
      </c>
      <c r="F45" s="76">
        <v>1</v>
      </c>
      <c r="G45" s="73">
        <f>IFERROR(VLOOKUP(C45,'🧪 프렙 원가표'!$C$8:$D$18,2,0),IFERROR(VLOOKUP(C45,'🥬 식재료 DB'!$C$7:$H$121,6,0),""))</f>
        <v>2.9176237535612533</v>
      </c>
      <c r="H45" s="74">
        <f>IFERROR(IF(AND(C45&lt;&gt;"",ISNUMBER(E45),ISNUMBER(F45),F45&gt;0,ISNUMBER(G45)),E45/F45*G45,""),"")</f>
        <v>583.52475071225069</v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336</v>
      </c>
      <c r="D50" s="50"/>
      <c r="E50" s="52">
        <v>13000</v>
      </c>
      <c r="F50" s="53">
        <f>IFERROR(SUM(H52,H53,H54,H55,H56,H57,H58,H59,H60,H61,H62,H63,H65,H66,H67,H68,H69),0)</f>
        <v>1875.6297709923663</v>
      </c>
      <c r="G50" s="54">
        <f>IFERROR(E50*'💰 고정비용 DB'!$D$22/'💰 고정비용 DB'!$D$25,0)</f>
        <v>8583.8618577410598</v>
      </c>
      <c r="H50" s="55">
        <f>IFERROR(G50-F50,"")</f>
        <v>6708.2320867486933</v>
      </c>
      <c r="I50" s="56">
        <f>IFERROR(H50/E50,"")</f>
        <v>0.51601785282682255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215</v>
      </c>
      <c r="D52" s="59" t="s">
        <v>292</v>
      </c>
      <c r="E52" s="60">
        <v>10</v>
      </c>
      <c r="F52" s="61">
        <v>1</v>
      </c>
      <c r="G52" s="25">
        <f>IFERROR(VLOOKUP(C52,'🥬 식재료 DB'!$C$7:$H$121,6,0),"")</f>
        <v>4.25</v>
      </c>
      <c r="H52" s="62">
        <f t="shared" ref="H52:H63" si="2">IFERROR(IF(AND(C52&lt;&gt;"",ISNUMBER(E52),ISNUMBER(F52),F52&gt;0,ISNUMBER(G52)),E52/F52*G52,""),"")</f>
        <v>42.5</v>
      </c>
      <c r="I52" s="63"/>
      <c r="J52" s="63"/>
    </row>
    <row r="53" spans="2:11" ht="16.5" customHeight="1">
      <c r="B53" s="58">
        <v>2</v>
      </c>
      <c r="C53" s="68"/>
      <c r="D53" s="59" t="s">
        <v>292</v>
      </c>
      <c r="E53" s="69"/>
      <c r="F53" s="70"/>
      <c r="G53" s="25" t="str">
        <f>IFERROR(VLOOKUP(C53,'🥬 식재료 DB'!$C$7:$H$121,6,0),"")</f>
        <v/>
      </c>
      <c r="H53" s="62" t="str">
        <f t="shared" si="2"/>
        <v/>
      </c>
      <c r="I53" s="98"/>
      <c r="J53" s="98"/>
    </row>
    <row r="54" spans="2:11" ht="16.5" customHeight="1">
      <c r="B54" s="58">
        <v>3</v>
      </c>
      <c r="C54" s="68"/>
      <c r="D54" s="59" t="s">
        <v>292</v>
      </c>
      <c r="E54" s="69"/>
      <c r="F54" s="70"/>
      <c r="G54" s="25" t="str">
        <f>IFERROR(VLOOKUP(C54,'🥬 식재료 DB'!$C$7:$H$121,6,0),"")</f>
        <v/>
      </c>
      <c r="H54" s="62" t="str">
        <f t="shared" si="2"/>
        <v/>
      </c>
      <c r="I54" s="63"/>
      <c r="J54" s="63"/>
    </row>
    <row r="55" spans="2:11" ht="16.5" customHeight="1">
      <c r="B55" s="58">
        <v>4</v>
      </c>
      <c r="C55" s="68"/>
      <c r="D55" s="59" t="s">
        <v>292</v>
      </c>
      <c r="E55" s="69"/>
      <c r="F55" s="70"/>
      <c r="G55" s="25" t="str">
        <f>IFERROR(VLOOKUP(C55,'🥬 식재료 DB'!$C$7:$H$121,6,0),"")</f>
        <v/>
      </c>
      <c r="H55" s="62" t="str">
        <f t="shared" si="2"/>
        <v/>
      </c>
      <c r="I55" s="98"/>
      <c r="J55" s="98"/>
    </row>
    <row r="56" spans="2:11" ht="16.5" customHeight="1">
      <c r="B56" s="58">
        <v>5</v>
      </c>
      <c r="C56" s="68"/>
      <c r="D56" s="59" t="s">
        <v>292</v>
      </c>
      <c r="E56" s="69"/>
      <c r="F56" s="70"/>
      <c r="G56" s="25" t="str">
        <f>IFERROR(VLOOKUP(C56,'🥬 식재료 DB'!$C$7:$H$121,6,0),"")</f>
        <v/>
      </c>
      <c r="H56" s="62" t="str">
        <f t="shared" si="2"/>
        <v/>
      </c>
      <c r="I56" s="63"/>
      <c r="J56" s="63"/>
    </row>
    <row r="57" spans="2:11" ht="16.5" customHeight="1">
      <c r="B57" s="58">
        <v>6</v>
      </c>
      <c r="C57" s="68"/>
      <c r="D57" s="59" t="s">
        <v>292</v>
      </c>
      <c r="E57" s="69"/>
      <c r="F57" s="70"/>
      <c r="G57" s="25" t="str">
        <f>IFERROR(VLOOKUP(C57,'🥬 식재료 DB'!$C$7:$H$121,6,0),"")</f>
        <v/>
      </c>
      <c r="H57" s="62" t="str">
        <f t="shared" si="2"/>
        <v/>
      </c>
      <c r="I57" s="98"/>
      <c r="J57" s="98"/>
    </row>
    <row r="58" spans="2:11" ht="16.5" customHeight="1">
      <c r="B58" s="58">
        <v>7</v>
      </c>
      <c r="C58" s="68"/>
      <c r="D58" s="59" t="s">
        <v>292</v>
      </c>
      <c r="E58" s="69"/>
      <c r="F58" s="70"/>
      <c r="G58" s="25" t="str">
        <f>IFERROR(VLOOKUP(C58,'🥬 식재료 DB'!$C$7:$H$121,6,0),"")</f>
        <v/>
      </c>
      <c r="H58" s="62" t="str">
        <f t="shared" si="2"/>
        <v/>
      </c>
      <c r="I58" s="63"/>
      <c r="J58" s="63"/>
    </row>
    <row r="59" spans="2:11" ht="16.5" customHeight="1">
      <c r="B59" s="58">
        <v>8</v>
      </c>
      <c r="C59" s="68"/>
      <c r="D59" s="59" t="s">
        <v>292</v>
      </c>
      <c r="E59" s="69"/>
      <c r="F59" s="70"/>
      <c r="G59" s="25" t="str">
        <f>IFERROR(VLOOKUP(C59,'🥬 식재료 DB'!$C$7:$H$121,6,0),"")</f>
        <v/>
      </c>
      <c r="H59" s="62" t="str">
        <f t="shared" si="2"/>
        <v/>
      </c>
      <c r="I59" s="98"/>
      <c r="J59" s="98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98"/>
      <c r="J61" s="98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98"/>
      <c r="J63" s="98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" t="s">
        <v>337</v>
      </c>
      <c r="D65" s="72" t="s">
        <v>295</v>
      </c>
      <c r="E65" s="60">
        <v>200</v>
      </c>
      <c r="F65" s="61">
        <v>1</v>
      </c>
      <c r="G65" s="73">
        <f>IFERROR(VLOOKUP(C65,'🧪 프렙 원가표'!$C$8:$D$18,2,0),IFERROR(VLOOKUP(C65,'🥬 식재료 DB'!$C$7:$H$121,6,0),""))</f>
        <v>6.9656488549618318</v>
      </c>
      <c r="H65" s="74">
        <f>IFERROR(IF(AND(C65&lt;&gt;"",ISNUMBER(E65),ISNUMBER(F65),F65&gt;0,ISNUMBER(G65)),E65/F65*G65,""),"")</f>
        <v>1393.1297709923663</v>
      </c>
      <c r="I65" s="63"/>
      <c r="J65" s="63"/>
    </row>
    <row r="66" spans="2:11" ht="16.5" customHeight="1">
      <c r="B66" s="71">
        <v>14</v>
      </c>
      <c r="C66" s="12" t="s">
        <v>296</v>
      </c>
      <c r="D66" s="72" t="s">
        <v>295</v>
      </c>
      <c r="E66" s="75">
        <v>40</v>
      </c>
      <c r="F66" s="76">
        <v>1</v>
      </c>
      <c r="G66" s="73">
        <f>IFERROR(VLOOKUP(C66,'🧪 프렙 원가표'!$C$8:$D$18,2,0),IFERROR(VLOOKUP(C66,'🥬 식재료 DB'!$C$7:$H$121,6,0),""))</f>
        <v>11</v>
      </c>
      <c r="H66" s="74">
        <f>IFERROR(IF(AND(C66&lt;&gt;"",ISNUMBER(E66),ISNUMBER(F66),F66&gt;0,ISNUMBER(G66)),E66/F66*G66,""),"")</f>
        <v>440</v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338</v>
      </c>
      <c r="D71" s="50"/>
      <c r="E71" s="52">
        <v>12000</v>
      </c>
      <c r="F71" s="53">
        <f>IFERROR(SUM(H73,H74,H75,H76,H77,H78,H79,H80,H81,H82,H83,H84,H86,H87,H88,H89,H90),0)</f>
        <v>1678.1297709923663</v>
      </c>
      <c r="G71" s="54">
        <f>IFERROR(E71*'💰 고정비용 DB'!$D$22/'💰 고정비용 DB'!$D$25,0)</f>
        <v>7923.5647917609776</v>
      </c>
      <c r="H71" s="55">
        <f>IFERROR(G71-F71,"")</f>
        <v>6245.4350207686111</v>
      </c>
      <c r="I71" s="56">
        <f>IFERROR(H71/E71,"")</f>
        <v>0.52045291839738428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141</v>
      </c>
      <c r="D73" s="59" t="s">
        <v>292</v>
      </c>
      <c r="E73" s="60">
        <v>100</v>
      </c>
      <c r="F73" s="61">
        <v>1</v>
      </c>
      <c r="G73" s="25">
        <f>IFERROR(VLOOKUP(C73,'🥬 식재료 DB'!$C$7:$H$121,6,0),"")</f>
        <v>1.75</v>
      </c>
      <c r="H73" s="62">
        <f t="shared" ref="H73:H84" si="3">IFERROR(IF(AND(C73&lt;&gt;"",ISNUMBER(E73),ISNUMBER(F73),F73&gt;0,ISNUMBER(G73)),E73/F73*G73,""),"")</f>
        <v>175</v>
      </c>
      <c r="I73" s="63"/>
      <c r="J73" s="63"/>
    </row>
    <row r="74" spans="2:11" ht="16.5" customHeight="1">
      <c r="B74" s="58">
        <v>2</v>
      </c>
      <c r="C74" s="68"/>
      <c r="D74" s="59" t="s">
        <v>292</v>
      </c>
      <c r="E74" s="69"/>
      <c r="F74" s="70"/>
      <c r="G74" s="25" t="str">
        <f>IFERROR(VLOOKUP(C74,'🥬 식재료 DB'!$C$7:$H$121,6,0),"")</f>
        <v/>
      </c>
      <c r="H74" s="62" t="str">
        <f t="shared" si="3"/>
        <v/>
      </c>
      <c r="I74" s="98"/>
      <c r="J74" s="98"/>
    </row>
    <row r="75" spans="2:11" ht="16.5" customHeight="1">
      <c r="B75" s="58">
        <v>3</v>
      </c>
      <c r="C75" s="68"/>
      <c r="D75" s="59" t="s">
        <v>292</v>
      </c>
      <c r="E75" s="69"/>
      <c r="F75" s="70"/>
      <c r="G75" s="25" t="str">
        <f>IFERROR(VLOOKUP(C75,'🥬 식재료 DB'!$C$7:$H$121,6,0),"")</f>
        <v/>
      </c>
      <c r="H75" s="62" t="str">
        <f t="shared" si="3"/>
        <v/>
      </c>
      <c r="I75" s="63"/>
      <c r="J75" s="63"/>
    </row>
    <row r="76" spans="2:11" ht="16.5" customHeight="1">
      <c r="B76" s="58">
        <v>4</v>
      </c>
      <c r="C76" s="68"/>
      <c r="D76" s="59" t="s">
        <v>292</v>
      </c>
      <c r="E76" s="69"/>
      <c r="F76" s="70"/>
      <c r="G76" s="25" t="str">
        <f>IFERROR(VLOOKUP(C76,'🥬 식재료 DB'!$C$7:$H$121,6,0),"")</f>
        <v/>
      </c>
      <c r="H76" s="62" t="str">
        <f t="shared" si="3"/>
        <v/>
      </c>
      <c r="I76" s="98"/>
      <c r="J76" s="98"/>
    </row>
    <row r="77" spans="2:11" ht="16.5" customHeight="1">
      <c r="B77" s="58">
        <v>5</v>
      </c>
      <c r="C77" s="68"/>
      <c r="D77" s="59" t="s">
        <v>292</v>
      </c>
      <c r="E77" s="69"/>
      <c r="F77" s="70"/>
      <c r="G77" s="25" t="str">
        <f>IFERROR(VLOOKUP(C77,'🥬 식재료 DB'!$C$7:$H$121,6,0),"")</f>
        <v/>
      </c>
      <c r="H77" s="62" t="str">
        <f t="shared" si="3"/>
        <v/>
      </c>
      <c r="I77" s="63"/>
      <c r="J77" s="63"/>
    </row>
    <row r="78" spans="2:11" ht="16.5" customHeight="1">
      <c r="B78" s="58">
        <v>6</v>
      </c>
      <c r="C78" s="68"/>
      <c r="D78" s="59" t="s">
        <v>292</v>
      </c>
      <c r="E78" s="69"/>
      <c r="F78" s="70"/>
      <c r="G78" s="25" t="str">
        <f>IFERROR(VLOOKUP(C78,'🥬 식재료 DB'!$C$7:$H$121,6,0),"")</f>
        <v/>
      </c>
      <c r="H78" s="62" t="str">
        <f t="shared" si="3"/>
        <v/>
      </c>
      <c r="I78" s="98"/>
      <c r="J78" s="98"/>
    </row>
    <row r="79" spans="2:11" ht="16.5" customHeight="1">
      <c r="B79" s="58">
        <v>7</v>
      </c>
      <c r="C79" s="68"/>
      <c r="D79" s="59" t="s">
        <v>292</v>
      </c>
      <c r="E79" s="69"/>
      <c r="F79" s="70"/>
      <c r="G79" s="25" t="str">
        <f>IFERROR(VLOOKUP(C79,'🥬 식재료 DB'!$C$7:$H$121,6,0),"")</f>
        <v/>
      </c>
      <c r="H79" s="62" t="str">
        <f t="shared" si="3"/>
        <v/>
      </c>
      <c r="I79" s="63"/>
      <c r="J79" s="63"/>
    </row>
    <row r="80" spans="2:11" ht="16.5" customHeight="1">
      <c r="B80" s="58">
        <v>8</v>
      </c>
      <c r="C80" s="68"/>
      <c r="D80" s="59" t="s">
        <v>292</v>
      </c>
      <c r="E80" s="69"/>
      <c r="F80" s="70"/>
      <c r="G80" s="25" t="str">
        <f>IFERROR(VLOOKUP(C80,'🥬 식재료 DB'!$C$7:$H$121,6,0),"")</f>
        <v/>
      </c>
      <c r="H80" s="62" t="str">
        <f t="shared" si="3"/>
        <v/>
      </c>
      <c r="I80" s="98"/>
      <c r="J80" s="98"/>
    </row>
    <row r="81" spans="2:11" ht="16.5" customHeight="1">
      <c r="B81" s="58">
        <v>9</v>
      </c>
      <c r="C81" s="68"/>
      <c r="D81" s="59" t="s">
        <v>292</v>
      </c>
      <c r="E81" s="69"/>
      <c r="F81" s="70"/>
      <c r="G81" s="25" t="str">
        <f>IFERROR(VLOOKUP(C81,'🥬 식재료 DB'!$C$7:$H$121,6,0),"")</f>
        <v/>
      </c>
      <c r="H81" s="62" t="str">
        <f t="shared" si="3"/>
        <v/>
      </c>
      <c r="I81" s="63"/>
      <c r="J81" s="63"/>
    </row>
    <row r="82" spans="2:11" ht="16.5" customHeight="1">
      <c r="B82" s="58">
        <v>10</v>
      </c>
      <c r="C82" s="68"/>
      <c r="D82" s="59" t="s">
        <v>292</v>
      </c>
      <c r="E82" s="69"/>
      <c r="F82" s="70"/>
      <c r="G82" s="25" t="str">
        <f>IFERROR(VLOOKUP(C82,'🥬 식재료 DB'!$C$7:$H$121,6,0),"")</f>
        <v/>
      </c>
      <c r="H82" s="62" t="str">
        <f t="shared" si="3"/>
        <v/>
      </c>
      <c r="I82" s="98"/>
      <c r="J82" s="98"/>
    </row>
    <row r="83" spans="2:11" ht="16.5" customHeight="1">
      <c r="B83" s="58">
        <v>11</v>
      </c>
      <c r="C83" s="68"/>
      <c r="D83" s="59" t="s">
        <v>292</v>
      </c>
      <c r="E83" s="69"/>
      <c r="F83" s="70"/>
      <c r="G83" s="25" t="str">
        <f>IFERROR(VLOOKUP(C83,'🥬 식재료 DB'!$C$7:$H$121,6,0),"")</f>
        <v/>
      </c>
      <c r="H83" s="62" t="str">
        <f t="shared" si="3"/>
        <v/>
      </c>
      <c r="I83" s="63"/>
      <c r="J83" s="63"/>
    </row>
    <row r="84" spans="2:11" ht="16.5" customHeight="1">
      <c r="B84" s="58">
        <v>12</v>
      </c>
      <c r="C84" s="68"/>
      <c r="D84" s="59" t="s">
        <v>292</v>
      </c>
      <c r="E84" s="69"/>
      <c r="F84" s="70"/>
      <c r="G84" s="25" t="str">
        <f>IFERROR(VLOOKUP(C84,'🥬 식재료 DB'!$C$7:$H$121,6,0),"")</f>
        <v/>
      </c>
      <c r="H84" s="62" t="str">
        <f t="shared" si="3"/>
        <v/>
      </c>
      <c r="I84" s="98"/>
      <c r="J84" s="98"/>
    </row>
    <row r="85" spans="2:11" ht="12.75" customHeight="1">
      <c r="B85" s="203" t="s">
        <v>293</v>
      </c>
      <c r="C85" s="203"/>
      <c r="D85" s="203"/>
      <c r="E85" s="203"/>
      <c r="F85" s="203"/>
      <c r="G85" s="203"/>
      <c r="H85" s="203"/>
      <c r="I85" s="203"/>
      <c r="J85" s="203"/>
      <c r="K85" s="203"/>
    </row>
    <row r="86" spans="2:11" ht="16.5" customHeight="1">
      <c r="B86" s="71">
        <v>13</v>
      </c>
      <c r="C86" s="6" t="s">
        <v>337</v>
      </c>
      <c r="D86" s="72" t="s">
        <v>295</v>
      </c>
      <c r="E86" s="60">
        <v>200</v>
      </c>
      <c r="F86" s="61">
        <v>1</v>
      </c>
      <c r="G86" s="73">
        <f>IFERROR(VLOOKUP(C86,'🧪 프렙 원가표'!$C$8:$D$18,2,0),IFERROR(VLOOKUP(C86,'🥬 식재료 DB'!$C$7:$H$121,6,0),""))</f>
        <v>6.9656488549618318</v>
      </c>
      <c r="H86" s="74">
        <f>IFERROR(IF(AND(C86&lt;&gt;"",ISNUMBER(E86),ISNUMBER(F86),F86&gt;0,ISNUMBER(G86)),E86/F86*G86,""),"")</f>
        <v>1393.1297709923663</v>
      </c>
      <c r="I86" s="63"/>
      <c r="J86" s="63"/>
    </row>
    <row r="87" spans="2:11" ht="16.5" customHeight="1">
      <c r="B87" s="71">
        <v>14</v>
      </c>
      <c r="C87" s="12" t="s">
        <v>296</v>
      </c>
      <c r="D87" s="72" t="s">
        <v>295</v>
      </c>
      <c r="E87" s="75">
        <v>10</v>
      </c>
      <c r="F87" s="76">
        <v>1</v>
      </c>
      <c r="G87" s="73">
        <f>IFERROR(VLOOKUP(C87,'🧪 프렙 원가표'!$C$8:$D$18,2,0),IFERROR(VLOOKUP(C87,'🥬 식재료 DB'!$C$7:$H$121,6,0),""))</f>
        <v>11</v>
      </c>
      <c r="H87" s="74">
        <f>IFERROR(IF(AND(C87&lt;&gt;"",ISNUMBER(E87),ISNUMBER(F87),F87&gt;0,ISNUMBER(G87)),E87/F87*G87,""),"")</f>
        <v>110</v>
      </c>
      <c r="I87" s="77"/>
      <c r="J87" s="77"/>
    </row>
    <row r="88" spans="2:11" ht="16.5" customHeight="1">
      <c r="B88" s="71">
        <v>15</v>
      </c>
      <c r="C88" s="68"/>
      <c r="D88" s="72" t="s">
        <v>295</v>
      </c>
      <c r="E88" s="69"/>
      <c r="F88" s="70"/>
      <c r="G88" s="73" t="str">
        <f>IFERROR(VLOOKUP(C88,'🧪 프렙 원가표'!$C$8:$D$18,2,0),IFERROR(VLOOKUP(C88,'🥬 식재료 DB'!$C$7:$H$121,6,0),""))</f>
        <v/>
      </c>
      <c r="H88" s="74" t="str">
        <f>IFERROR(IF(AND(C88&lt;&gt;"",ISNUMBER(E88),ISNUMBER(F88),F88&gt;0,ISNUMBER(G88)),E88/F88*G88,""),"")</f>
        <v/>
      </c>
      <c r="I88" s="63"/>
      <c r="J88" s="63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77"/>
      <c r="J89" s="77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63"/>
      <c r="J90" s="63"/>
    </row>
    <row r="91" spans="2:11" ht="3.75" customHeight="1">
      <c r="B91" s="78"/>
      <c r="C91" s="78"/>
      <c r="D91" s="78"/>
      <c r="E91" s="78"/>
      <c r="F91" s="78"/>
      <c r="G91" s="78"/>
      <c r="H91" s="78"/>
      <c r="I91" s="78"/>
      <c r="J91" s="78"/>
      <c r="K91" s="78"/>
    </row>
    <row r="92" spans="2:11" ht="27" customHeight="1">
      <c r="B92" s="50"/>
      <c r="C92" s="51" t="s">
        <v>339</v>
      </c>
      <c r="D92" s="50"/>
      <c r="E92" s="52">
        <v>12000</v>
      </c>
      <c r="F92" s="53">
        <f>IFERROR(SUM(H94,H95,H96,H97,H98,H99,H100,H101,H102,H103,H104,H105,H107,H108,H109,H110,H111),0)</f>
        <v>436.76237535612535</v>
      </c>
      <c r="G92" s="54">
        <f>IFERROR(E92*'💰 고정비용 DB'!$D$22/'💰 고정비용 DB'!$D$25,0)</f>
        <v>7923.5647917609776</v>
      </c>
      <c r="H92" s="55">
        <f>IFERROR(G92-F92,"")</f>
        <v>7486.802416404852</v>
      </c>
      <c r="I92" s="56">
        <f>IFERROR(H92/E92,"")</f>
        <v>0.62390020136707103</v>
      </c>
      <c r="J92" s="57" t="str">
        <f>IF(I92="","⬜ 미입력",IF(I92&lt;=0.2,"✅ 양호",IF(I92&lt;=0.32,"🟡 주의","🔴 과다")))</f>
        <v>🔴 과다</v>
      </c>
      <c r="K92" s="50"/>
    </row>
    <row r="93" spans="2:11" ht="12.75" customHeight="1">
      <c r="B93" s="204" t="s">
        <v>291</v>
      </c>
      <c r="C93" s="204"/>
      <c r="D93" s="204"/>
      <c r="E93" s="204"/>
      <c r="F93" s="204"/>
      <c r="G93" s="204"/>
      <c r="H93" s="204"/>
      <c r="I93" s="204"/>
      <c r="J93" s="204"/>
      <c r="K93" s="204"/>
    </row>
    <row r="94" spans="2:11" ht="16.5" customHeight="1">
      <c r="B94" s="58">
        <v>1</v>
      </c>
      <c r="C94" s="6" t="s">
        <v>141</v>
      </c>
      <c r="D94" s="59" t="s">
        <v>292</v>
      </c>
      <c r="E94" s="60">
        <v>65</v>
      </c>
      <c r="F94" s="61">
        <v>1</v>
      </c>
      <c r="G94" s="25">
        <f>IFERROR(VLOOKUP(C94,'🥬 식재료 DB'!$C$7:$H$121,6,0),"")</f>
        <v>1.75</v>
      </c>
      <c r="H94" s="62">
        <f t="shared" ref="H94:H105" si="4">IFERROR(IF(AND(C94&lt;&gt;"",ISNUMBER(E94),ISNUMBER(F94),F94&gt;0,ISNUMBER(G94)),E94/F94*G94,""),"")</f>
        <v>113.75</v>
      </c>
      <c r="I94" s="63"/>
      <c r="J94" s="63"/>
    </row>
    <row r="95" spans="2:11" ht="16.5" customHeight="1">
      <c r="B95" s="58">
        <v>2</v>
      </c>
      <c r="C95" s="95" t="s">
        <v>340</v>
      </c>
      <c r="D95" s="59" t="s">
        <v>292</v>
      </c>
      <c r="E95" s="96">
        <v>65</v>
      </c>
      <c r="F95" s="97">
        <v>1</v>
      </c>
      <c r="G95" s="25" t="str">
        <f>IFERROR(VLOOKUP(C95,'🥬 식재료 DB'!$C$7:$H$121,6,0),"")</f>
        <v/>
      </c>
      <c r="H95" s="62" t="str">
        <f t="shared" si="4"/>
        <v/>
      </c>
      <c r="I95" s="98"/>
      <c r="J95" s="98"/>
    </row>
    <row r="96" spans="2:11" ht="16.5" customHeight="1">
      <c r="B96" s="58">
        <v>3</v>
      </c>
      <c r="C96" s="6" t="s">
        <v>215</v>
      </c>
      <c r="D96" s="59" t="s">
        <v>292</v>
      </c>
      <c r="E96" s="60">
        <v>5</v>
      </c>
      <c r="F96" s="61">
        <v>1</v>
      </c>
      <c r="G96" s="25">
        <f>IFERROR(VLOOKUP(C96,'🥬 식재료 DB'!$C$7:$H$121,6,0),"")</f>
        <v>4.25</v>
      </c>
      <c r="H96" s="62">
        <f t="shared" si="4"/>
        <v>21.25</v>
      </c>
      <c r="I96" s="63"/>
      <c r="J96" s="63"/>
    </row>
    <row r="97" spans="2:11" ht="16.5" customHeight="1">
      <c r="B97" s="58">
        <v>4</v>
      </c>
      <c r="C97" s="95" t="s">
        <v>168</v>
      </c>
      <c r="D97" s="59" t="s">
        <v>292</v>
      </c>
      <c r="E97" s="96">
        <v>10</v>
      </c>
      <c r="F97" s="97">
        <v>1</v>
      </c>
      <c r="G97" s="25">
        <f>IFERROR(VLOOKUP(C97,'🥬 식재료 DB'!$C$7:$H$121,6,0),"")</f>
        <v>1</v>
      </c>
      <c r="H97" s="62">
        <f t="shared" si="4"/>
        <v>10</v>
      </c>
      <c r="I97" s="98"/>
      <c r="J97" s="98"/>
    </row>
    <row r="98" spans="2:11" ht="16.5" customHeight="1">
      <c r="B98" s="58">
        <v>5</v>
      </c>
      <c r="C98" s="6" t="s">
        <v>341</v>
      </c>
      <c r="D98" s="59" t="s">
        <v>292</v>
      </c>
      <c r="E98" s="60">
        <v>2</v>
      </c>
      <c r="F98" s="61">
        <v>1</v>
      </c>
      <c r="G98" s="25" t="str">
        <f>IFERROR(VLOOKUP(C98,'🥬 식재료 DB'!$C$7:$H$121,6,0),"")</f>
        <v/>
      </c>
      <c r="H98" s="62" t="str">
        <f t="shared" si="4"/>
        <v/>
      </c>
      <c r="I98" s="63"/>
      <c r="J98" s="63"/>
    </row>
    <row r="99" spans="2:11" ht="16.5" customHeight="1">
      <c r="B99" s="58">
        <v>6</v>
      </c>
      <c r="C99" s="68"/>
      <c r="D99" s="59" t="s">
        <v>292</v>
      </c>
      <c r="E99" s="69"/>
      <c r="F99" s="70"/>
      <c r="G99" s="25" t="str">
        <f>IFERROR(VLOOKUP(C99,'🥬 식재료 DB'!$C$7:$H$121,6,0),"")</f>
        <v/>
      </c>
      <c r="H99" s="62" t="str">
        <f t="shared" si="4"/>
        <v/>
      </c>
      <c r="I99" s="98"/>
      <c r="J99" s="98"/>
    </row>
    <row r="100" spans="2:11" ht="16.5" customHeight="1">
      <c r="B100" s="58">
        <v>7</v>
      </c>
      <c r="C100" s="68"/>
      <c r="D100" s="59" t="s">
        <v>292</v>
      </c>
      <c r="E100" s="69"/>
      <c r="F100" s="70"/>
      <c r="G100" s="25" t="str">
        <f>IFERROR(VLOOKUP(C100,'🥬 식재료 DB'!$C$7:$H$121,6,0),"")</f>
        <v/>
      </c>
      <c r="H100" s="62" t="str">
        <f t="shared" si="4"/>
        <v/>
      </c>
      <c r="I100" s="63"/>
      <c r="J100" s="63"/>
    </row>
    <row r="101" spans="2:11" ht="16.5" customHeight="1">
      <c r="B101" s="58">
        <v>8</v>
      </c>
      <c r="C101" s="68"/>
      <c r="D101" s="59" t="s">
        <v>292</v>
      </c>
      <c r="E101" s="69"/>
      <c r="F101" s="70"/>
      <c r="G101" s="25" t="str">
        <f>IFERROR(VLOOKUP(C101,'🥬 식재료 DB'!$C$7:$H$121,6,0),"")</f>
        <v/>
      </c>
      <c r="H101" s="62" t="str">
        <f t="shared" si="4"/>
        <v/>
      </c>
      <c r="I101" s="98"/>
      <c r="J101" s="98"/>
    </row>
    <row r="102" spans="2:11" ht="16.5" customHeight="1">
      <c r="B102" s="58">
        <v>9</v>
      </c>
      <c r="C102" s="68"/>
      <c r="D102" s="59" t="s">
        <v>292</v>
      </c>
      <c r="E102" s="69"/>
      <c r="F102" s="70"/>
      <c r="G102" s="25" t="str">
        <f>IFERROR(VLOOKUP(C102,'🥬 식재료 DB'!$C$7:$H$121,6,0),"")</f>
        <v/>
      </c>
      <c r="H102" s="62" t="str">
        <f t="shared" si="4"/>
        <v/>
      </c>
      <c r="I102" s="63"/>
      <c r="J102" s="63"/>
    </row>
    <row r="103" spans="2:11" ht="16.5" customHeight="1">
      <c r="B103" s="58">
        <v>10</v>
      </c>
      <c r="C103" s="68"/>
      <c r="D103" s="59" t="s">
        <v>292</v>
      </c>
      <c r="E103" s="69"/>
      <c r="F103" s="70"/>
      <c r="G103" s="25" t="str">
        <f>IFERROR(VLOOKUP(C103,'🥬 식재료 DB'!$C$7:$H$121,6,0),"")</f>
        <v/>
      </c>
      <c r="H103" s="62" t="str">
        <f t="shared" si="4"/>
        <v/>
      </c>
      <c r="I103" s="98"/>
      <c r="J103" s="98"/>
    </row>
    <row r="104" spans="2:11" ht="16.5" customHeight="1">
      <c r="B104" s="58">
        <v>11</v>
      </c>
      <c r="C104" s="68"/>
      <c r="D104" s="59" t="s">
        <v>292</v>
      </c>
      <c r="E104" s="69"/>
      <c r="F104" s="70"/>
      <c r="G104" s="25" t="str">
        <f>IFERROR(VLOOKUP(C104,'🥬 식재료 DB'!$C$7:$H$121,6,0),"")</f>
        <v/>
      </c>
      <c r="H104" s="62" t="str">
        <f t="shared" si="4"/>
        <v/>
      </c>
      <c r="I104" s="63"/>
      <c r="J104" s="63"/>
    </row>
    <row r="105" spans="2:11" ht="16.5" customHeight="1">
      <c r="B105" s="58">
        <v>12</v>
      </c>
      <c r="C105" s="68"/>
      <c r="D105" s="59" t="s">
        <v>292</v>
      </c>
      <c r="E105" s="69"/>
      <c r="F105" s="70"/>
      <c r="G105" s="25" t="str">
        <f>IFERROR(VLOOKUP(C105,'🥬 식재료 DB'!$C$7:$H$121,6,0),"")</f>
        <v/>
      </c>
      <c r="H105" s="62" t="str">
        <f t="shared" si="4"/>
        <v/>
      </c>
      <c r="I105" s="98"/>
      <c r="J105" s="98"/>
    </row>
    <row r="106" spans="2:11" ht="12.75" customHeight="1">
      <c r="B106" s="203" t="s">
        <v>293</v>
      </c>
      <c r="C106" s="203"/>
      <c r="D106" s="203"/>
      <c r="E106" s="203"/>
      <c r="F106" s="203"/>
      <c r="G106" s="203"/>
      <c r="H106" s="203"/>
      <c r="I106" s="203"/>
      <c r="J106" s="203"/>
      <c r="K106" s="203"/>
    </row>
    <row r="107" spans="2:11" ht="16.5" customHeight="1">
      <c r="B107" s="71">
        <v>13</v>
      </c>
      <c r="C107" s="6" t="s">
        <v>294</v>
      </c>
      <c r="D107" s="72" t="s">
        <v>295</v>
      </c>
      <c r="E107" s="60">
        <v>100</v>
      </c>
      <c r="F107" s="61">
        <v>1</v>
      </c>
      <c r="G107" s="73">
        <f>IFERROR(VLOOKUP(C107,'🧪 프렙 원가표'!$C$8:$D$18,2,0),IFERROR(VLOOKUP(C107,'🥬 식재료 DB'!$C$7:$H$121,6,0),""))</f>
        <v>2.9176237535612533</v>
      </c>
      <c r="H107" s="74">
        <f>IFERROR(IF(AND(C107&lt;&gt;"",ISNUMBER(E107),ISNUMBER(F107),F107&gt;0,ISNUMBER(G107)),E107/F107*G107,""),"")</f>
        <v>291.76237535612535</v>
      </c>
      <c r="I107" s="63"/>
      <c r="J107" s="63"/>
    </row>
    <row r="108" spans="2:11" ht="16.5" customHeight="1">
      <c r="B108" s="71">
        <v>14</v>
      </c>
      <c r="C108" s="68"/>
      <c r="D108" s="72" t="s">
        <v>295</v>
      </c>
      <c r="E108" s="69"/>
      <c r="F108" s="70"/>
      <c r="G108" s="73" t="str">
        <f>IFERROR(VLOOKUP(C108,'🧪 프렙 원가표'!$C$8:$D$18,2,0),IFERROR(VLOOKUP(C108,'🥬 식재료 DB'!$C$7:$H$121,6,0),""))</f>
        <v/>
      </c>
      <c r="H108" s="74" t="str">
        <f>IFERROR(IF(AND(C108&lt;&gt;"",ISNUMBER(E108),ISNUMBER(F108),F108&gt;0,ISNUMBER(G108)),E108/F108*G108,""),"")</f>
        <v/>
      </c>
      <c r="I108" s="77"/>
      <c r="J108" s="77"/>
    </row>
    <row r="109" spans="2:11" ht="16.5" customHeight="1">
      <c r="B109" s="71">
        <v>15</v>
      </c>
      <c r="C109" s="68"/>
      <c r="D109" s="72" t="s">
        <v>295</v>
      </c>
      <c r="E109" s="69"/>
      <c r="F109" s="70"/>
      <c r="G109" s="73" t="str">
        <f>IFERROR(VLOOKUP(C109,'🧪 프렙 원가표'!$C$8:$D$18,2,0),IFERROR(VLOOKUP(C109,'🥬 식재료 DB'!$C$7:$H$121,6,0),""))</f>
        <v/>
      </c>
      <c r="H109" s="74" t="str">
        <f>IFERROR(IF(AND(C109&lt;&gt;"",ISNUMBER(E109),ISNUMBER(F109),F109&gt;0,ISNUMBER(G109)),E109/F109*G109,""),"")</f>
        <v/>
      </c>
      <c r="I109" s="63"/>
      <c r="J109" s="63"/>
    </row>
    <row r="110" spans="2:11" ht="16.5" customHeight="1">
      <c r="B110" s="71">
        <v>16</v>
      </c>
      <c r="C110" s="68"/>
      <c r="D110" s="72" t="s">
        <v>295</v>
      </c>
      <c r="E110" s="69"/>
      <c r="F110" s="70"/>
      <c r="G110" s="73" t="str">
        <f>IFERROR(VLOOKUP(C110,'🧪 프렙 원가표'!$C$8:$D$18,2,0),IFERROR(VLOOKUP(C110,'🥬 식재료 DB'!$C$7:$H$121,6,0),""))</f>
        <v/>
      </c>
      <c r="H110" s="74" t="str">
        <f>IFERROR(IF(AND(C110&lt;&gt;"",ISNUMBER(E110),ISNUMBER(F110),F110&gt;0,ISNUMBER(G110)),E110/F110*G110,""),"")</f>
        <v/>
      </c>
      <c r="I110" s="77"/>
      <c r="J110" s="77"/>
    </row>
    <row r="111" spans="2:11" ht="16.5" customHeight="1">
      <c r="B111" s="71">
        <v>17</v>
      </c>
      <c r="C111" s="68"/>
      <c r="D111" s="72" t="s">
        <v>295</v>
      </c>
      <c r="E111" s="69"/>
      <c r="F111" s="70"/>
      <c r="G111" s="73" t="str">
        <f>IFERROR(VLOOKUP(C111,'🧪 프렙 원가표'!$C$8:$D$18,2,0),IFERROR(VLOOKUP(C111,'🥬 식재료 DB'!$C$7:$H$121,6,0),""))</f>
        <v/>
      </c>
      <c r="H111" s="74" t="str">
        <f>IFERROR(IF(AND(C111&lt;&gt;"",ISNUMBER(E111),ISNUMBER(F111),F111&gt;0,ISNUMBER(G111)),E111/F111*G111,""),"")</f>
        <v/>
      </c>
      <c r="I111" s="63"/>
      <c r="J111" s="63"/>
    </row>
    <row r="112" spans="2:11" ht="3.75" customHeight="1">
      <c r="B112" s="78"/>
      <c r="C112" s="78"/>
      <c r="D112" s="78"/>
      <c r="E112" s="78"/>
      <c r="F112" s="78"/>
      <c r="G112" s="78"/>
      <c r="H112" s="78"/>
      <c r="I112" s="78"/>
      <c r="J112" s="78"/>
      <c r="K112" s="78"/>
    </row>
    <row r="113" spans="2:11" ht="27" customHeight="1">
      <c r="B113" s="50"/>
      <c r="C113" s="51" t="s">
        <v>342</v>
      </c>
      <c r="D113" s="50"/>
      <c r="E113" s="52">
        <v>12000</v>
      </c>
      <c r="F113" s="53">
        <f>IFERROR(SUM(H115,H116,H117,H118,H119,H120,H121,H122,H123,H124,H125,H126,H128,H129,H130,H131,H132),0)</f>
        <v>563.86006499287737</v>
      </c>
      <c r="G113" s="54">
        <f>IFERROR(E113*'💰 고정비용 DB'!$D$22/'💰 고정비용 DB'!$D$25,0)</f>
        <v>7923.5647917609776</v>
      </c>
      <c r="H113" s="55">
        <f>IFERROR(G113-F113,"")</f>
        <v>7359.7047267681</v>
      </c>
      <c r="I113" s="56">
        <f>IFERROR(H113/E113,"")</f>
        <v>0.61330872723067498</v>
      </c>
      <c r="J113" s="57" t="str">
        <f>IF(I113="","⬜ 미입력",IF(I113&lt;=0.2,"✅ 양호",IF(I113&lt;=0.32,"🟡 주의","🔴 과다")))</f>
        <v>🔴 과다</v>
      </c>
      <c r="K113" s="50"/>
    </row>
    <row r="114" spans="2:11" ht="12.75" customHeight="1">
      <c r="B114" s="204" t="s">
        <v>291</v>
      </c>
      <c r="C114" s="204"/>
      <c r="D114" s="204"/>
      <c r="E114" s="204"/>
      <c r="F114" s="204"/>
      <c r="G114" s="204"/>
      <c r="H114" s="204"/>
      <c r="I114" s="204"/>
      <c r="J114" s="204"/>
      <c r="K114" s="204"/>
    </row>
    <row r="115" spans="2:11" ht="16.5" customHeight="1">
      <c r="B115" s="58">
        <v>1</v>
      </c>
      <c r="C115" s="6" t="s">
        <v>343</v>
      </c>
      <c r="D115" s="59" t="s">
        <v>292</v>
      </c>
      <c r="E115" s="60">
        <v>80</v>
      </c>
      <c r="F115" s="61">
        <v>1</v>
      </c>
      <c r="G115" s="25" t="str">
        <f>IFERROR(VLOOKUP(C115,'🥬 식재료 DB'!$C$7:$H$121,6,0),"")</f>
        <v/>
      </c>
      <c r="H115" s="62" t="str">
        <f t="shared" ref="H115:H126" si="5">IFERROR(IF(AND(C115&lt;&gt;"",ISNUMBER(E115),ISNUMBER(F115),F115&gt;0,ISNUMBER(G115)),E115/F115*G115,""),"")</f>
        <v/>
      </c>
      <c r="I115" s="63"/>
      <c r="J115" s="63"/>
    </row>
    <row r="116" spans="2:11" ht="16.5" customHeight="1">
      <c r="B116" s="58">
        <v>2</v>
      </c>
      <c r="C116" s="95" t="s">
        <v>140</v>
      </c>
      <c r="D116" s="59" t="s">
        <v>292</v>
      </c>
      <c r="E116" s="96">
        <v>25</v>
      </c>
      <c r="F116" s="97">
        <v>1</v>
      </c>
      <c r="G116" s="25">
        <f>IFERROR(VLOOKUP(C116,'🥬 식재료 DB'!$C$7:$H$121,6,0),"")</f>
        <v>0.93333333333333335</v>
      </c>
      <c r="H116" s="62">
        <f t="shared" si="5"/>
        <v>23.333333333333332</v>
      </c>
      <c r="I116" s="98"/>
      <c r="J116" s="98"/>
    </row>
    <row r="117" spans="2:11" ht="16.5" customHeight="1">
      <c r="B117" s="58">
        <v>3</v>
      </c>
      <c r="C117" s="6" t="s">
        <v>227</v>
      </c>
      <c r="D117" s="59" t="s">
        <v>292</v>
      </c>
      <c r="E117" s="60">
        <v>10</v>
      </c>
      <c r="F117" s="61">
        <v>1</v>
      </c>
      <c r="G117" s="25">
        <f>IFERROR(VLOOKUP(C117,'🥬 식재료 DB'!$C$7:$H$121,6,0),"")</f>
        <v>6</v>
      </c>
      <c r="H117" s="62">
        <f t="shared" si="5"/>
        <v>60</v>
      </c>
      <c r="I117" s="63"/>
      <c r="J117" s="63"/>
    </row>
    <row r="118" spans="2:11" ht="16.5" customHeight="1">
      <c r="B118" s="58">
        <v>4</v>
      </c>
      <c r="C118" s="95" t="s">
        <v>236</v>
      </c>
      <c r="D118" s="59" t="s">
        <v>292</v>
      </c>
      <c r="E118" s="96">
        <v>10</v>
      </c>
      <c r="F118" s="97">
        <v>1</v>
      </c>
      <c r="G118" s="25">
        <f>IFERROR(VLOOKUP(C118,'🥬 식재료 DB'!$C$7:$H$121,6,0),"")</f>
        <v>14</v>
      </c>
      <c r="H118" s="62">
        <f t="shared" si="5"/>
        <v>140</v>
      </c>
      <c r="I118" s="98"/>
      <c r="J118" s="98"/>
    </row>
    <row r="119" spans="2:11" ht="16.5" customHeight="1">
      <c r="B119" s="58">
        <v>5</v>
      </c>
      <c r="C119" s="17" t="s">
        <v>325</v>
      </c>
      <c r="D119" s="59" t="s">
        <v>292</v>
      </c>
      <c r="E119" s="60">
        <v>5</v>
      </c>
      <c r="F119" s="61">
        <v>1</v>
      </c>
      <c r="G119" s="25" t="str">
        <f>IFERROR(VLOOKUP(C119,'🥬 식재료 DB'!$C$7:$H$121,6,0),"")</f>
        <v/>
      </c>
      <c r="H119" s="62" t="str">
        <f t="shared" si="5"/>
        <v/>
      </c>
      <c r="I119" s="63"/>
      <c r="J119" s="63"/>
    </row>
    <row r="120" spans="2:11" ht="16.5" customHeight="1">
      <c r="B120" s="58">
        <v>6</v>
      </c>
      <c r="C120" s="95" t="s">
        <v>168</v>
      </c>
      <c r="D120" s="59" t="s">
        <v>292</v>
      </c>
      <c r="E120" s="96">
        <v>5</v>
      </c>
      <c r="F120" s="97">
        <v>1</v>
      </c>
      <c r="G120" s="25">
        <f>IFERROR(VLOOKUP(C120,'🥬 식재료 DB'!$C$7:$H$121,6,0),"")</f>
        <v>1</v>
      </c>
      <c r="H120" s="62">
        <f t="shared" si="5"/>
        <v>5</v>
      </c>
      <c r="I120" s="98"/>
      <c r="J120" s="98"/>
    </row>
    <row r="121" spans="2:11" ht="16.5" customHeight="1">
      <c r="B121" s="58">
        <v>7</v>
      </c>
      <c r="C121" s="68"/>
      <c r="D121" s="59" t="s">
        <v>292</v>
      </c>
      <c r="E121" s="69"/>
      <c r="F121" s="70"/>
      <c r="G121" s="25" t="str">
        <f>IFERROR(VLOOKUP(C121,'🥬 식재료 DB'!$C$7:$H$121,6,0),"")</f>
        <v/>
      </c>
      <c r="H121" s="62" t="str">
        <f t="shared" si="5"/>
        <v/>
      </c>
      <c r="I121" s="63"/>
      <c r="J121" s="63"/>
    </row>
    <row r="122" spans="2:11" ht="16.5" customHeight="1">
      <c r="B122" s="58">
        <v>8</v>
      </c>
      <c r="C122" s="68"/>
      <c r="D122" s="59" t="s">
        <v>292</v>
      </c>
      <c r="E122" s="69"/>
      <c r="F122" s="70"/>
      <c r="G122" s="25" t="str">
        <f>IFERROR(VLOOKUP(C122,'🥬 식재료 DB'!$C$7:$H$121,6,0),"")</f>
        <v/>
      </c>
      <c r="H122" s="62" t="str">
        <f t="shared" si="5"/>
        <v/>
      </c>
      <c r="I122" s="98"/>
      <c r="J122" s="98"/>
    </row>
    <row r="123" spans="2:11" ht="16.5" customHeight="1">
      <c r="B123" s="58">
        <v>9</v>
      </c>
      <c r="C123" s="68"/>
      <c r="D123" s="59" t="s">
        <v>292</v>
      </c>
      <c r="E123" s="69"/>
      <c r="F123" s="70"/>
      <c r="G123" s="25" t="str">
        <f>IFERROR(VLOOKUP(C123,'🥬 식재료 DB'!$C$7:$H$121,6,0),"")</f>
        <v/>
      </c>
      <c r="H123" s="62" t="str">
        <f t="shared" si="5"/>
        <v/>
      </c>
      <c r="I123" s="63"/>
      <c r="J123" s="63"/>
    </row>
    <row r="124" spans="2:11" ht="16.5" customHeight="1">
      <c r="B124" s="58">
        <v>10</v>
      </c>
      <c r="C124" s="68"/>
      <c r="D124" s="59" t="s">
        <v>292</v>
      </c>
      <c r="E124" s="69"/>
      <c r="F124" s="70"/>
      <c r="G124" s="25" t="str">
        <f>IFERROR(VLOOKUP(C124,'🥬 식재료 DB'!$C$7:$H$121,6,0),"")</f>
        <v/>
      </c>
      <c r="H124" s="62" t="str">
        <f t="shared" si="5"/>
        <v/>
      </c>
      <c r="I124" s="98"/>
      <c r="J124" s="98"/>
    </row>
    <row r="125" spans="2:11" ht="16.5" customHeight="1">
      <c r="B125" s="58">
        <v>11</v>
      </c>
      <c r="C125" s="68"/>
      <c r="D125" s="59" t="s">
        <v>292</v>
      </c>
      <c r="E125" s="69"/>
      <c r="F125" s="70"/>
      <c r="G125" s="25" t="str">
        <f>IFERROR(VLOOKUP(C125,'🥬 식재료 DB'!$C$7:$H$121,6,0),"")</f>
        <v/>
      </c>
      <c r="H125" s="62" t="str">
        <f t="shared" si="5"/>
        <v/>
      </c>
      <c r="I125" s="63"/>
      <c r="J125" s="63"/>
    </row>
    <row r="126" spans="2:11" ht="16.5" customHeight="1">
      <c r="B126" s="58">
        <v>12</v>
      </c>
      <c r="C126" s="68"/>
      <c r="D126" s="59" t="s">
        <v>292</v>
      </c>
      <c r="E126" s="69"/>
      <c r="F126" s="70"/>
      <c r="G126" s="25" t="str">
        <f>IFERROR(VLOOKUP(C126,'🥬 식재료 DB'!$C$7:$H$121,6,0),"")</f>
        <v/>
      </c>
      <c r="H126" s="62" t="str">
        <f t="shared" si="5"/>
        <v/>
      </c>
      <c r="I126" s="98"/>
      <c r="J126" s="98"/>
    </row>
    <row r="127" spans="2:11" ht="12.75" customHeight="1">
      <c r="B127" s="203" t="s">
        <v>293</v>
      </c>
      <c r="C127" s="203"/>
      <c r="D127" s="203"/>
      <c r="E127" s="203"/>
      <c r="F127" s="203"/>
      <c r="G127" s="203"/>
      <c r="H127" s="203"/>
      <c r="I127" s="203"/>
      <c r="J127" s="203"/>
      <c r="K127" s="203"/>
    </row>
    <row r="128" spans="2:11" ht="16.5" customHeight="1">
      <c r="B128" s="71">
        <v>13</v>
      </c>
      <c r="C128" s="6" t="s">
        <v>294</v>
      </c>
      <c r="D128" s="72" t="s">
        <v>295</v>
      </c>
      <c r="E128" s="60">
        <v>115</v>
      </c>
      <c r="F128" s="61">
        <v>1</v>
      </c>
      <c r="G128" s="73">
        <f>IFERROR(VLOOKUP(C128,'🧪 프렙 원가표'!$C$8:$D$18,2,0),IFERROR(VLOOKUP(C128,'🥬 식재료 DB'!$C$7:$H$121,6,0),""))</f>
        <v>2.9176237535612533</v>
      </c>
      <c r="H128" s="74">
        <f>IFERROR(IF(AND(C128&lt;&gt;"",ISNUMBER(E128),ISNUMBER(F128),F128&gt;0,ISNUMBER(G128)),E128/F128*G128,""),"")</f>
        <v>335.52673165954411</v>
      </c>
      <c r="I128" s="63"/>
      <c r="J128" s="63"/>
    </row>
    <row r="129" spans="2:11" ht="16.5" customHeight="1">
      <c r="B129" s="71">
        <v>14</v>
      </c>
      <c r="C129" s="68"/>
      <c r="D129" s="72" t="s">
        <v>295</v>
      </c>
      <c r="E129" s="69"/>
      <c r="F129" s="70"/>
      <c r="G129" s="73" t="str">
        <f>IFERROR(VLOOKUP(C129,'🧪 프렙 원가표'!$C$8:$D$18,2,0),IFERROR(VLOOKUP(C129,'🥬 식재료 DB'!$C$7:$H$121,6,0),""))</f>
        <v/>
      </c>
      <c r="H129" s="74" t="str">
        <f>IFERROR(IF(AND(C129&lt;&gt;"",ISNUMBER(E129),ISNUMBER(F129),F129&gt;0,ISNUMBER(G129)),E129/F129*G129,""),"")</f>
        <v/>
      </c>
      <c r="I129" s="77"/>
      <c r="J129" s="77"/>
    </row>
    <row r="130" spans="2:11" ht="16.5" customHeight="1">
      <c r="B130" s="71">
        <v>15</v>
      </c>
      <c r="C130" s="68"/>
      <c r="D130" s="72" t="s">
        <v>295</v>
      </c>
      <c r="E130" s="69"/>
      <c r="F130" s="70"/>
      <c r="G130" s="73" t="str">
        <f>IFERROR(VLOOKUP(C130,'🧪 프렙 원가표'!$C$8:$D$18,2,0),IFERROR(VLOOKUP(C130,'🥬 식재료 DB'!$C$7:$H$121,6,0),""))</f>
        <v/>
      </c>
      <c r="H130" s="74" t="str">
        <f>IFERROR(IF(AND(C130&lt;&gt;"",ISNUMBER(E130),ISNUMBER(F130),F130&gt;0,ISNUMBER(G130)),E130/F130*G130,""),"")</f>
        <v/>
      </c>
      <c r="I130" s="63"/>
      <c r="J130" s="63"/>
    </row>
    <row r="131" spans="2:11" ht="16.5" customHeight="1">
      <c r="B131" s="71">
        <v>16</v>
      </c>
      <c r="C131" s="68"/>
      <c r="D131" s="72" t="s">
        <v>295</v>
      </c>
      <c r="E131" s="69"/>
      <c r="F131" s="70"/>
      <c r="G131" s="73" t="str">
        <f>IFERROR(VLOOKUP(C131,'🧪 프렙 원가표'!$C$8:$D$18,2,0),IFERROR(VLOOKUP(C131,'🥬 식재료 DB'!$C$7:$H$121,6,0),""))</f>
        <v/>
      </c>
      <c r="H131" s="74" t="str">
        <f>IFERROR(IF(AND(C131&lt;&gt;"",ISNUMBER(E131),ISNUMBER(F131),F131&gt;0,ISNUMBER(G131)),E131/F131*G131,""),"")</f>
        <v/>
      </c>
      <c r="I131" s="77"/>
      <c r="J131" s="77"/>
    </row>
    <row r="132" spans="2:11" ht="16.5" customHeight="1">
      <c r="B132" s="71">
        <v>17</v>
      </c>
      <c r="C132" s="68"/>
      <c r="D132" s="72" t="s">
        <v>295</v>
      </c>
      <c r="E132" s="69"/>
      <c r="F132" s="70"/>
      <c r="G132" s="73" t="str">
        <f>IFERROR(VLOOKUP(C132,'🧪 프렙 원가표'!$C$8:$D$18,2,0),IFERROR(VLOOKUP(C132,'🥬 식재료 DB'!$C$7:$H$121,6,0),""))</f>
        <v/>
      </c>
      <c r="H132" s="74" t="str">
        <f>IFERROR(IF(AND(C132&lt;&gt;"",ISNUMBER(E132),ISNUMBER(F132),F132&gt;0,ISNUMBER(G132)),E132/F132*G132,""),"")</f>
        <v/>
      </c>
      <c r="I132" s="63"/>
      <c r="J132" s="63"/>
    </row>
    <row r="133" spans="2:11" ht="3.75" customHeight="1">
      <c r="B133" s="78"/>
      <c r="C133" s="78"/>
      <c r="D133" s="78"/>
      <c r="E133" s="78"/>
      <c r="F133" s="78"/>
      <c r="G133" s="78"/>
      <c r="H133" s="78"/>
      <c r="I133" s="78"/>
      <c r="J133" s="78"/>
      <c r="K133" s="78"/>
    </row>
    <row r="134" spans="2:11" ht="27" customHeight="1">
      <c r="B134" s="50"/>
      <c r="C134" s="51" t="s">
        <v>344</v>
      </c>
      <c r="D134" s="50"/>
      <c r="E134" s="52">
        <v>12500</v>
      </c>
      <c r="F134" s="53">
        <f>IFERROR(SUM(H136,H137,H138,H139,H140,H141,H142,H143,H144,H145,H146,H147,H149,H150,H151,H152,H153),0)</f>
        <v>469.71732549857546</v>
      </c>
      <c r="G134" s="54">
        <f>IFERROR(E134*'💰 고정비용 DB'!$D$22/'💰 고정비용 DB'!$D$25,0)</f>
        <v>8253.7133247510192</v>
      </c>
      <c r="H134" s="55">
        <f>IFERROR(G134-F134,"")</f>
        <v>7783.9959992524437</v>
      </c>
      <c r="I134" s="56">
        <f>IFERROR(H134/E134,"")</f>
        <v>0.6227196799401955</v>
      </c>
      <c r="J134" s="57" t="str">
        <f>IF(I134="","⬜ 미입력",IF(I134&lt;=0.2,"✅ 양호",IF(I134&lt;=0.32,"🟡 주의","🔴 과다")))</f>
        <v>🔴 과다</v>
      </c>
      <c r="K134" s="50"/>
    </row>
    <row r="135" spans="2:11" ht="12.75" customHeight="1">
      <c r="B135" s="204" t="s">
        <v>291</v>
      </c>
      <c r="C135" s="204"/>
      <c r="D135" s="204"/>
      <c r="E135" s="204"/>
      <c r="F135" s="204"/>
      <c r="G135" s="204"/>
      <c r="H135" s="204"/>
      <c r="I135" s="204"/>
      <c r="J135" s="204"/>
      <c r="K135" s="204"/>
    </row>
    <row r="136" spans="2:11" ht="16.5" customHeight="1">
      <c r="B136" s="58">
        <v>1</v>
      </c>
      <c r="C136" s="6" t="s">
        <v>345</v>
      </c>
      <c r="D136" s="59" t="s">
        <v>292</v>
      </c>
      <c r="E136" s="60">
        <v>85</v>
      </c>
      <c r="F136" s="61">
        <v>1</v>
      </c>
      <c r="G136" s="25" t="str">
        <f>IFERROR(VLOOKUP(C136,'🥬 식재료 DB'!$C$7:$H$121,6,0),"")</f>
        <v/>
      </c>
      <c r="H136" s="62" t="str">
        <f t="shared" ref="H136:H147" si="6">IFERROR(IF(AND(C136&lt;&gt;"",ISNUMBER(E136),ISNUMBER(F136),F136&gt;0,ISNUMBER(G136)),E136/F136*G136,""),"")</f>
        <v/>
      </c>
      <c r="I136" s="63"/>
      <c r="J136" s="63"/>
    </row>
    <row r="137" spans="2:11" ht="16.5" customHeight="1">
      <c r="B137" s="58">
        <v>2</v>
      </c>
      <c r="C137" s="95" t="s">
        <v>227</v>
      </c>
      <c r="D137" s="59" t="s">
        <v>292</v>
      </c>
      <c r="E137" s="96">
        <v>5</v>
      </c>
      <c r="F137" s="97">
        <v>1</v>
      </c>
      <c r="G137" s="25">
        <f>IFERROR(VLOOKUP(C137,'🥬 식재료 DB'!$C$7:$H$121,6,0),"")</f>
        <v>6</v>
      </c>
      <c r="H137" s="62">
        <f t="shared" si="6"/>
        <v>30</v>
      </c>
      <c r="I137" s="98"/>
      <c r="J137" s="98"/>
    </row>
    <row r="138" spans="2:11" ht="16.5" customHeight="1">
      <c r="B138" s="58">
        <v>3</v>
      </c>
      <c r="C138" s="6" t="s">
        <v>215</v>
      </c>
      <c r="D138" s="59" t="s">
        <v>292</v>
      </c>
      <c r="E138" s="60">
        <v>5</v>
      </c>
      <c r="F138" s="61">
        <v>1</v>
      </c>
      <c r="G138" s="25">
        <f>IFERROR(VLOOKUP(C138,'🥬 식재료 DB'!$C$7:$H$121,6,0),"")</f>
        <v>4.25</v>
      </c>
      <c r="H138" s="62">
        <f t="shared" si="6"/>
        <v>21.25</v>
      </c>
      <c r="I138" s="63"/>
      <c r="J138" s="63"/>
    </row>
    <row r="139" spans="2:11" ht="16.5" customHeight="1">
      <c r="B139" s="58">
        <v>4</v>
      </c>
      <c r="C139" s="95" t="s">
        <v>168</v>
      </c>
      <c r="D139" s="59" t="s">
        <v>292</v>
      </c>
      <c r="E139" s="96">
        <v>10</v>
      </c>
      <c r="F139" s="97">
        <v>1</v>
      </c>
      <c r="G139" s="25">
        <f>IFERROR(VLOOKUP(C139,'🥬 식재료 DB'!$C$7:$H$121,6,0),"")</f>
        <v>1</v>
      </c>
      <c r="H139" s="62">
        <f t="shared" si="6"/>
        <v>10</v>
      </c>
      <c r="I139" s="98"/>
      <c r="J139" s="98"/>
    </row>
    <row r="140" spans="2:11" ht="16.5" customHeight="1">
      <c r="B140" s="58">
        <v>5</v>
      </c>
      <c r="C140" s="68"/>
      <c r="D140" s="59" t="s">
        <v>292</v>
      </c>
      <c r="E140" s="69"/>
      <c r="F140" s="70"/>
      <c r="G140" s="25" t="str">
        <f>IFERROR(VLOOKUP(C140,'🥬 식재료 DB'!$C$7:$H$121,6,0),"")</f>
        <v/>
      </c>
      <c r="H140" s="62" t="str">
        <f t="shared" si="6"/>
        <v/>
      </c>
      <c r="I140" s="63"/>
      <c r="J140" s="63"/>
    </row>
    <row r="141" spans="2:11" ht="16.5" customHeight="1">
      <c r="B141" s="58">
        <v>6</v>
      </c>
      <c r="C141" s="68"/>
      <c r="D141" s="59" t="s">
        <v>292</v>
      </c>
      <c r="E141" s="69"/>
      <c r="F141" s="70"/>
      <c r="G141" s="25" t="str">
        <f>IFERROR(VLOOKUP(C141,'🥬 식재료 DB'!$C$7:$H$121,6,0),"")</f>
        <v/>
      </c>
      <c r="H141" s="62" t="str">
        <f t="shared" si="6"/>
        <v/>
      </c>
      <c r="I141" s="98"/>
      <c r="J141" s="98"/>
    </row>
    <row r="142" spans="2:11" ht="16.5" customHeight="1">
      <c r="B142" s="58">
        <v>7</v>
      </c>
      <c r="C142" s="68"/>
      <c r="D142" s="59" t="s">
        <v>292</v>
      </c>
      <c r="E142" s="69"/>
      <c r="F142" s="70"/>
      <c r="G142" s="25" t="str">
        <f>IFERROR(VLOOKUP(C142,'🥬 식재료 DB'!$C$7:$H$121,6,0),"")</f>
        <v/>
      </c>
      <c r="H142" s="62" t="str">
        <f t="shared" si="6"/>
        <v/>
      </c>
      <c r="I142" s="63"/>
      <c r="J142" s="63"/>
    </row>
    <row r="143" spans="2:11" ht="16.5" customHeight="1">
      <c r="B143" s="58">
        <v>8</v>
      </c>
      <c r="C143" s="68"/>
      <c r="D143" s="59" t="s">
        <v>292</v>
      </c>
      <c r="E143" s="69"/>
      <c r="F143" s="70"/>
      <c r="G143" s="25" t="str">
        <f>IFERROR(VLOOKUP(C143,'🥬 식재료 DB'!$C$7:$H$121,6,0),"")</f>
        <v/>
      </c>
      <c r="H143" s="62" t="str">
        <f t="shared" si="6"/>
        <v/>
      </c>
      <c r="I143" s="98"/>
      <c r="J143" s="98"/>
    </row>
    <row r="144" spans="2:11" ht="16.5" customHeight="1">
      <c r="B144" s="58">
        <v>9</v>
      </c>
      <c r="C144" s="68"/>
      <c r="D144" s="59" t="s">
        <v>292</v>
      </c>
      <c r="E144" s="69"/>
      <c r="F144" s="70"/>
      <c r="G144" s="25" t="str">
        <f>IFERROR(VLOOKUP(C144,'🥬 식재료 DB'!$C$7:$H$121,6,0),"")</f>
        <v/>
      </c>
      <c r="H144" s="62" t="str">
        <f t="shared" si="6"/>
        <v/>
      </c>
      <c r="I144" s="63"/>
      <c r="J144" s="63"/>
    </row>
    <row r="145" spans="2:11" ht="16.5" customHeight="1">
      <c r="B145" s="58">
        <v>10</v>
      </c>
      <c r="C145" s="68"/>
      <c r="D145" s="59" t="s">
        <v>292</v>
      </c>
      <c r="E145" s="69"/>
      <c r="F145" s="70"/>
      <c r="G145" s="25" t="str">
        <f>IFERROR(VLOOKUP(C145,'🥬 식재료 DB'!$C$7:$H$121,6,0),"")</f>
        <v/>
      </c>
      <c r="H145" s="62" t="str">
        <f t="shared" si="6"/>
        <v/>
      </c>
      <c r="I145" s="98"/>
      <c r="J145" s="98"/>
    </row>
    <row r="146" spans="2:11" ht="16.5" customHeight="1">
      <c r="B146" s="58">
        <v>11</v>
      </c>
      <c r="C146" s="68"/>
      <c r="D146" s="59" t="s">
        <v>292</v>
      </c>
      <c r="E146" s="69"/>
      <c r="F146" s="70"/>
      <c r="G146" s="25" t="str">
        <f>IFERROR(VLOOKUP(C146,'🥬 식재료 DB'!$C$7:$H$121,6,0),"")</f>
        <v/>
      </c>
      <c r="H146" s="62" t="str">
        <f t="shared" si="6"/>
        <v/>
      </c>
      <c r="I146" s="63"/>
      <c r="J146" s="63"/>
    </row>
    <row r="147" spans="2:11" ht="16.5" customHeight="1">
      <c r="B147" s="58">
        <v>12</v>
      </c>
      <c r="C147" s="68"/>
      <c r="D147" s="59" t="s">
        <v>292</v>
      </c>
      <c r="E147" s="69"/>
      <c r="F147" s="70"/>
      <c r="G147" s="25" t="str">
        <f>IFERROR(VLOOKUP(C147,'🥬 식재료 DB'!$C$7:$H$121,6,0),"")</f>
        <v/>
      </c>
      <c r="H147" s="62" t="str">
        <f t="shared" si="6"/>
        <v/>
      </c>
      <c r="I147" s="98"/>
      <c r="J147" s="98"/>
    </row>
    <row r="148" spans="2:11" ht="12.75" customHeight="1">
      <c r="B148" s="203" t="s">
        <v>293</v>
      </c>
      <c r="C148" s="203"/>
      <c r="D148" s="203"/>
      <c r="E148" s="203"/>
      <c r="F148" s="203"/>
      <c r="G148" s="203"/>
      <c r="H148" s="203"/>
      <c r="I148" s="203"/>
      <c r="J148" s="203"/>
      <c r="K148" s="203"/>
    </row>
    <row r="149" spans="2:11" ht="16.5" customHeight="1">
      <c r="B149" s="71">
        <v>13</v>
      </c>
      <c r="C149" s="6" t="s">
        <v>294</v>
      </c>
      <c r="D149" s="72" t="s">
        <v>295</v>
      </c>
      <c r="E149" s="60">
        <v>140</v>
      </c>
      <c r="F149" s="61">
        <v>1</v>
      </c>
      <c r="G149" s="73">
        <f>IFERROR(VLOOKUP(C149,'🧪 프렙 원가표'!$C$8:$D$18,2,0),IFERROR(VLOOKUP(C149,'🥬 식재료 DB'!$C$7:$H$121,6,0),""))</f>
        <v>2.9176237535612533</v>
      </c>
      <c r="H149" s="74">
        <f>IFERROR(IF(AND(C149&lt;&gt;"",ISNUMBER(E149),ISNUMBER(F149),F149&gt;0,ISNUMBER(G149)),E149/F149*G149,""),"")</f>
        <v>408.46732549857546</v>
      </c>
      <c r="I149" s="63"/>
      <c r="J149" s="63"/>
    </row>
    <row r="150" spans="2:11" ht="16.5" customHeight="1">
      <c r="B150" s="71">
        <v>14</v>
      </c>
      <c r="C150" s="68"/>
      <c r="D150" s="72" t="s">
        <v>295</v>
      </c>
      <c r="E150" s="69"/>
      <c r="F150" s="70"/>
      <c r="G150" s="73" t="str">
        <f>IFERROR(VLOOKUP(C150,'🧪 프렙 원가표'!$C$8:$D$18,2,0),IFERROR(VLOOKUP(C150,'🥬 식재료 DB'!$C$7:$H$121,6,0),""))</f>
        <v/>
      </c>
      <c r="H150" s="74" t="str">
        <f>IFERROR(IF(AND(C150&lt;&gt;"",ISNUMBER(E150),ISNUMBER(F150),F150&gt;0,ISNUMBER(G150)),E150/F150*G150,""),"")</f>
        <v/>
      </c>
      <c r="I150" s="77"/>
      <c r="J150" s="77"/>
    </row>
    <row r="151" spans="2:11" ht="16.5" customHeight="1">
      <c r="B151" s="71">
        <v>15</v>
      </c>
      <c r="C151" s="68"/>
      <c r="D151" s="72" t="s">
        <v>295</v>
      </c>
      <c r="E151" s="69"/>
      <c r="F151" s="70"/>
      <c r="G151" s="73" t="str">
        <f>IFERROR(VLOOKUP(C151,'🧪 프렙 원가표'!$C$8:$D$18,2,0),IFERROR(VLOOKUP(C151,'🥬 식재료 DB'!$C$7:$H$121,6,0),""))</f>
        <v/>
      </c>
      <c r="H151" s="74" t="str">
        <f>IFERROR(IF(AND(C151&lt;&gt;"",ISNUMBER(E151),ISNUMBER(F151),F151&gt;0,ISNUMBER(G151)),E151/F151*G151,""),"")</f>
        <v/>
      </c>
      <c r="I151" s="63"/>
      <c r="J151" s="63"/>
    </row>
    <row r="152" spans="2:11" ht="16.5" customHeight="1">
      <c r="B152" s="71">
        <v>16</v>
      </c>
      <c r="C152" s="68"/>
      <c r="D152" s="72" t="s">
        <v>295</v>
      </c>
      <c r="E152" s="69"/>
      <c r="F152" s="70"/>
      <c r="G152" s="73" t="str">
        <f>IFERROR(VLOOKUP(C152,'🧪 프렙 원가표'!$C$8:$D$18,2,0),IFERROR(VLOOKUP(C152,'🥬 식재료 DB'!$C$7:$H$121,6,0),""))</f>
        <v/>
      </c>
      <c r="H152" s="74" t="str">
        <f>IFERROR(IF(AND(C152&lt;&gt;"",ISNUMBER(E152),ISNUMBER(F152),F152&gt;0,ISNUMBER(G152)),E152/F152*G152,""),"")</f>
        <v/>
      </c>
      <c r="I152" s="77"/>
      <c r="J152" s="77"/>
    </row>
    <row r="153" spans="2:11" ht="16.5" customHeight="1">
      <c r="B153" s="71">
        <v>17</v>
      </c>
      <c r="C153" s="68"/>
      <c r="D153" s="72" t="s">
        <v>295</v>
      </c>
      <c r="E153" s="69"/>
      <c r="F153" s="70"/>
      <c r="G153" s="73" t="str">
        <f>IFERROR(VLOOKUP(C153,'🧪 프렙 원가표'!$C$8:$D$18,2,0),IFERROR(VLOOKUP(C153,'🥬 식재료 DB'!$C$7:$H$121,6,0),""))</f>
        <v/>
      </c>
      <c r="H153" s="74" t="str">
        <f>IFERROR(IF(AND(C153&lt;&gt;"",ISNUMBER(E153),ISNUMBER(F153),F153&gt;0,ISNUMBER(G153)),E153/F153*G153,""),"")</f>
        <v/>
      </c>
      <c r="I153" s="63"/>
      <c r="J153" s="63"/>
    </row>
    <row r="154" spans="2:11" ht="3.75" customHeight="1">
      <c r="B154" s="78"/>
      <c r="C154" s="78"/>
      <c r="D154" s="78"/>
      <c r="E154" s="78"/>
      <c r="F154" s="78"/>
      <c r="G154" s="78"/>
      <c r="H154" s="78"/>
      <c r="I154" s="78"/>
      <c r="J154" s="78"/>
      <c r="K154" s="78"/>
    </row>
    <row r="155" spans="2:11" ht="27" customHeight="1">
      <c r="B155" s="50"/>
      <c r="C155" s="51" t="s">
        <v>346</v>
      </c>
      <c r="D155" s="50"/>
      <c r="E155" s="52">
        <v>12000</v>
      </c>
      <c r="F155" s="53">
        <f>IFERROR(SUM(H157,H158,H159,H160,H161,H162,H163,H164,H165,H166,H167,H168,H170,H171,H172,H173,H174),0)</f>
        <v>830.21732549857552</v>
      </c>
      <c r="G155" s="54">
        <f>IFERROR(E155*'💰 고정비용 DB'!$D$22/'💰 고정비용 DB'!$D$25,0)</f>
        <v>7923.5647917609776</v>
      </c>
      <c r="H155" s="55">
        <f>IFERROR(G155-F155,"")</f>
        <v>7093.3474662624021</v>
      </c>
      <c r="I155" s="56">
        <f>IFERROR(H155/E155,"")</f>
        <v>0.59111228885520017</v>
      </c>
      <c r="J155" s="57" t="str">
        <f>IF(I155="","⬜ 미입력",IF(I155&lt;=0.2,"✅ 양호",IF(I155&lt;=0.32,"🟡 주의","🔴 과다")))</f>
        <v>🔴 과다</v>
      </c>
      <c r="K155" s="50"/>
    </row>
    <row r="156" spans="2:11" ht="12.75" customHeight="1">
      <c r="B156" s="204" t="s">
        <v>291</v>
      </c>
      <c r="C156" s="204"/>
      <c r="D156" s="204"/>
      <c r="E156" s="204"/>
      <c r="F156" s="204"/>
      <c r="G156" s="204"/>
      <c r="H156" s="204"/>
      <c r="I156" s="204"/>
      <c r="J156" s="204"/>
      <c r="K156" s="204"/>
    </row>
    <row r="157" spans="2:11" ht="16.5" customHeight="1">
      <c r="B157" s="58">
        <v>1</v>
      </c>
      <c r="C157" s="6" t="s">
        <v>241</v>
      </c>
      <c r="D157" s="59" t="s">
        <v>292</v>
      </c>
      <c r="E157" s="60">
        <v>70</v>
      </c>
      <c r="F157" s="61">
        <v>1</v>
      </c>
      <c r="G157" s="25">
        <f>IFERROR(VLOOKUP(C157,'🥬 식재료 DB'!$C$7:$H$121,6,0),"")</f>
        <v>4.95</v>
      </c>
      <c r="H157" s="62">
        <f t="shared" ref="H157:H168" si="7">IFERROR(IF(AND(C157&lt;&gt;"",ISNUMBER(E157),ISNUMBER(F157),F157&gt;0,ISNUMBER(G157)),E157/F157*G157,""),"")</f>
        <v>346.5</v>
      </c>
      <c r="I157" s="63"/>
      <c r="J157" s="63"/>
    </row>
    <row r="158" spans="2:11" ht="16.5" customHeight="1">
      <c r="B158" s="58">
        <v>2</v>
      </c>
      <c r="C158" s="95" t="s">
        <v>140</v>
      </c>
      <c r="D158" s="59" t="s">
        <v>292</v>
      </c>
      <c r="E158" s="96">
        <v>15</v>
      </c>
      <c r="F158" s="97">
        <v>1</v>
      </c>
      <c r="G158" s="25">
        <f>IFERROR(VLOOKUP(C158,'🥬 식재료 DB'!$C$7:$H$121,6,0),"")</f>
        <v>0.93333333333333335</v>
      </c>
      <c r="H158" s="62">
        <f t="shared" si="7"/>
        <v>14</v>
      </c>
      <c r="I158" s="98"/>
      <c r="J158" s="98"/>
    </row>
    <row r="159" spans="2:11" ht="16.5" customHeight="1">
      <c r="B159" s="58">
        <v>3</v>
      </c>
      <c r="C159" s="6" t="s">
        <v>227</v>
      </c>
      <c r="D159" s="59" t="s">
        <v>292</v>
      </c>
      <c r="E159" s="60">
        <v>5</v>
      </c>
      <c r="F159" s="61">
        <v>1</v>
      </c>
      <c r="G159" s="25">
        <f>IFERROR(VLOOKUP(C159,'🥬 식재료 DB'!$C$7:$H$121,6,0),"")</f>
        <v>6</v>
      </c>
      <c r="H159" s="62">
        <f t="shared" si="7"/>
        <v>30</v>
      </c>
      <c r="I159" s="63"/>
      <c r="J159" s="63"/>
    </row>
    <row r="160" spans="2:11" ht="16.5" customHeight="1">
      <c r="B160" s="58">
        <v>4</v>
      </c>
      <c r="C160" s="95" t="s">
        <v>215</v>
      </c>
      <c r="D160" s="59" t="s">
        <v>292</v>
      </c>
      <c r="E160" s="96">
        <v>5</v>
      </c>
      <c r="F160" s="97">
        <v>1</v>
      </c>
      <c r="G160" s="25">
        <f>IFERROR(VLOOKUP(C160,'🥬 식재료 DB'!$C$7:$H$121,6,0),"")</f>
        <v>4.25</v>
      </c>
      <c r="H160" s="62">
        <f t="shared" si="7"/>
        <v>21.25</v>
      </c>
      <c r="I160" s="98"/>
      <c r="J160" s="98"/>
    </row>
    <row r="161" spans="2:11" ht="16.5" customHeight="1">
      <c r="B161" s="58">
        <v>5</v>
      </c>
      <c r="C161" s="6" t="s">
        <v>168</v>
      </c>
      <c r="D161" s="59" t="s">
        <v>292</v>
      </c>
      <c r="E161" s="60">
        <v>10</v>
      </c>
      <c r="F161" s="61">
        <v>1</v>
      </c>
      <c r="G161" s="25">
        <f>IFERROR(VLOOKUP(C161,'🥬 식재료 DB'!$C$7:$H$121,6,0),"")</f>
        <v>1</v>
      </c>
      <c r="H161" s="62">
        <f t="shared" si="7"/>
        <v>10</v>
      </c>
      <c r="I161" s="63"/>
      <c r="J161" s="63"/>
    </row>
    <row r="162" spans="2:11" ht="16.5" customHeight="1">
      <c r="B162" s="58">
        <v>6</v>
      </c>
      <c r="C162" s="68"/>
      <c r="D162" s="59" t="s">
        <v>292</v>
      </c>
      <c r="E162" s="69"/>
      <c r="F162" s="70"/>
      <c r="G162" s="25" t="str">
        <f>IFERROR(VLOOKUP(C162,'🥬 식재료 DB'!$C$7:$H$121,6,0),"")</f>
        <v/>
      </c>
      <c r="H162" s="62" t="str">
        <f t="shared" si="7"/>
        <v/>
      </c>
      <c r="I162" s="98"/>
      <c r="J162" s="98"/>
    </row>
    <row r="163" spans="2:11" ht="16.5" customHeight="1">
      <c r="B163" s="58">
        <v>7</v>
      </c>
      <c r="C163" s="68"/>
      <c r="D163" s="59" t="s">
        <v>292</v>
      </c>
      <c r="E163" s="69"/>
      <c r="F163" s="70"/>
      <c r="G163" s="25" t="str">
        <f>IFERROR(VLOOKUP(C163,'🥬 식재료 DB'!$C$7:$H$121,6,0),"")</f>
        <v/>
      </c>
      <c r="H163" s="62" t="str">
        <f t="shared" si="7"/>
        <v/>
      </c>
      <c r="I163" s="63"/>
      <c r="J163" s="63"/>
    </row>
    <row r="164" spans="2:11" ht="16.5" customHeight="1">
      <c r="B164" s="58">
        <v>8</v>
      </c>
      <c r="C164" s="68"/>
      <c r="D164" s="59" t="s">
        <v>292</v>
      </c>
      <c r="E164" s="69"/>
      <c r="F164" s="70"/>
      <c r="G164" s="25" t="str">
        <f>IFERROR(VLOOKUP(C164,'🥬 식재료 DB'!$C$7:$H$121,6,0),"")</f>
        <v/>
      </c>
      <c r="H164" s="62" t="str">
        <f t="shared" si="7"/>
        <v/>
      </c>
      <c r="I164" s="98"/>
      <c r="J164" s="98"/>
    </row>
    <row r="165" spans="2:11" ht="16.5" customHeight="1">
      <c r="B165" s="58">
        <v>9</v>
      </c>
      <c r="C165" s="68"/>
      <c r="D165" s="59" t="s">
        <v>292</v>
      </c>
      <c r="E165" s="69"/>
      <c r="F165" s="70"/>
      <c r="G165" s="25" t="str">
        <f>IFERROR(VLOOKUP(C165,'🥬 식재료 DB'!$C$7:$H$121,6,0),"")</f>
        <v/>
      </c>
      <c r="H165" s="62" t="str">
        <f t="shared" si="7"/>
        <v/>
      </c>
      <c r="I165" s="63"/>
      <c r="J165" s="63"/>
    </row>
    <row r="166" spans="2:11" ht="16.5" customHeight="1">
      <c r="B166" s="58">
        <v>10</v>
      </c>
      <c r="C166" s="68"/>
      <c r="D166" s="59" t="s">
        <v>292</v>
      </c>
      <c r="E166" s="69"/>
      <c r="F166" s="70"/>
      <c r="G166" s="25" t="str">
        <f>IFERROR(VLOOKUP(C166,'🥬 식재료 DB'!$C$7:$H$121,6,0),"")</f>
        <v/>
      </c>
      <c r="H166" s="62" t="str">
        <f t="shared" si="7"/>
        <v/>
      </c>
      <c r="I166" s="98"/>
      <c r="J166" s="98"/>
    </row>
    <row r="167" spans="2:11" ht="16.5" customHeight="1">
      <c r="B167" s="58">
        <v>11</v>
      </c>
      <c r="C167" s="68"/>
      <c r="D167" s="59" t="s">
        <v>292</v>
      </c>
      <c r="E167" s="69"/>
      <c r="F167" s="70"/>
      <c r="G167" s="25" t="str">
        <f>IFERROR(VLOOKUP(C167,'🥬 식재료 DB'!$C$7:$H$121,6,0),"")</f>
        <v/>
      </c>
      <c r="H167" s="62" t="str">
        <f t="shared" si="7"/>
        <v/>
      </c>
      <c r="I167" s="63"/>
      <c r="J167" s="63"/>
    </row>
    <row r="168" spans="2:11" ht="16.5" customHeight="1">
      <c r="B168" s="58">
        <v>12</v>
      </c>
      <c r="C168" s="68"/>
      <c r="D168" s="59" t="s">
        <v>292</v>
      </c>
      <c r="E168" s="69"/>
      <c r="F168" s="70"/>
      <c r="G168" s="25" t="str">
        <f>IFERROR(VLOOKUP(C168,'🥬 식재료 DB'!$C$7:$H$121,6,0),"")</f>
        <v/>
      </c>
      <c r="H168" s="62" t="str">
        <f t="shared" si="7"/>
        <v/>
      </c>
      <c r="I168" s="98"/>
      <c r="J168" s="98"/>
    </row>
    <row r="169" spans="2:11" ht="12.75" customHeight="1">
      <c r="B169" s="203" t="s">
        <v>293</v>
      </c>
      <c r="C169" s="203"/>
      <c r="D169" s="203"/>
      <c r="E169" s="203"/>
      <c r="F169" s="203"/>
      <c r="G169" s="203"/>
      <c r="H169" s="203"/>
      <c r="I169" s="203"/>
      <c r="J169" s="203"/>
      <c r="K169" s="203"/>
    </row>
    <row r="170" spans="2:11" ht="16.5" customHeight="1">
      <c r="B170" s="71">
        <v>13</v>
      </c>
      <c r="C170" s="6" t="s">
        <v>294</v>
      </c>
      <c r="D170" s="72" t="s">
        <v>295</v>
      </c>
      <c r="E170" s="60">
        <v>140</v>
      </c>
      <c r="F170" s="61">
        <v>1</v>
      </c>
      <c r="G170" s="73">
        <f>IFERROR(VLOOKUP(C170,'🧪 프렙 원가표'!$C$8:$D$18,2,0),IFERROR(VLOOKUP(C170,'🥬 식재료 DB'!$C$7:$H$121,6,0),""))</f>
        <v>2.9176237535612533</v>
      </c>
      <c r="H170" s="74">
        <f>IFERROR(IF(AND(C170&lt;&gt;"",ISNUMBER(E170),ISNUMBER(F170),F170&gt;0,ISNUMBER(G170)),E170/F170*G170,""),"")</f>
        <v>408.46732549857546</v>
      </c>
      <c r="I170" s="63"/>
      <c r="J170" s="63"/>
    </row>
    <row r="171" spans="2:11" ht="16.5" customHeight="1">
      <c r="B171" s="71">
        <v>14</v>
      </c>
      <c r="C171" s="68"/>
      <c r="D171" s="72" t="s">
        <v>295</v>
      </c>
      <c r="E171" s="69"/>
      <c r="F171" s="70"/>
      <c r="G171" s="73" t="str">
        <f>IFERROR(VLOOKUP(C171,'🧪 프렙 원가표'!$C$8:$D$18,2,0),IFERROR(VLOOKUP(C171,'🥬 식재료 DB'!$C$7:$H$121,6,0),""))</f>
        <v/>
      </c>
      <c r="H171" s="74" t="str">
        <f>IFERROR(IF(AND(C171&lt;&gt;"",ISNUMBER(E171),ISNUMBER(F171),F171&gt;0,ISNUMBER(G171)),E171/F171*G171,""),"")</f>
        <v/>
      </c>
      <c r="I171" s="77"/>
      <c r="J171" s="77"/>
    </row>
    <row r="172" spans="2:11" ht="16.5" customHeight="1">
      <c r="B172" s="71">
        <v>15</v>
      </c>
      <c r="C172" s="68"/>
      <c r="D172" s="72" t="s">
        <v>295</v>
      </c>
      <c r="E172" s="69"/>
      <c r="F172" s="70"/>
      <c r="G172" s="73" t="str">
        <f>IFERROR(VLOOKUP(C172,'🧪 프렙 원가표'!$C$8:$D$18,2,0),IFERROR(VLOOKUP(C172,'🥬 식재료 DB'!$C$7:$H$121,6,0),""))</f>
        <v/>
      </c>
      <c r="H172" s="74" t="str">
        <f>IFERROR(IF(AND(C172&lt;&gt;"",ISNUMBER(E172),ISNUMBER(F172),F172&gt;0,ISNUMBER(G172)),E172/F172*G172,""),"")</f>
        <v/>
      </c>
      <c r="I172" s="63"/>
      <c r="J172" s="63"/>
    </row>
    <row r="173" spans="2:11" ht="16.5" customHeight="1">
      <c r="B173" s="71">
        <v>16</v>
      </c>
      <c r="C173" s="68"/>
      <c r="D173" s="72" t="s">
        <v>295</v>
      </c>
      <c r="E173" s="69"/>
      <c r="F173" s="70"/>
      <c r="G173" s="73" t="str">
        <f>IFERROR(VLOOKUP(C173,'🧪 프렙 원가표'!$C$8:$D$18,2,0),IFERROR(VLOOKUP(C173,'🥬 식재료 DB'!$C$7:$H$121,6,0),""))</f>
        <v/>
      </c>
      <c r="H173" s="74" t="str">
        <f>IFERROR(IF(AND(C173&lt;&gt;"",ISNUMBER(E173),ISNUMBER(F173),F173&gt;0,ISNUMBER(G173)),E173/F173*G173,""),"")</f>
        <v/>
      </c>
      <c r="I173" s="77"/>
      <c r="J173" s="77"/>
    </row>
    <row r="174" spans="2:11" ht="16.5" customHeight="1">
      <c r="B174" s="71">
        <v>17</v>
      </c>
      <c r="C174" s="68"/>
      <c r="D174" s="72" t="s">
        <v>295</v>
      </c>
      <c r="E174" s="69"/>
      <c r="F174" s="70"/>
      <c r="G174" s="73" t="str">
        <f>IFERROR(VLOOKUP(C174,'🧪 프렙 원가표'!$C$8:$D$18,2,0),IFERROR(VLOOKUP(C174,'🥬 식재료 DB'!$C$7:$H$121,6,0),""))</f>
        <v/>
      </c>
      <c r="H174" s="74" t="str">
        <f>IFERROR(IF(AND(C174&lt;&gt;"",ISNUMBER(E174),ISNUMBER(F174),F174&gt;0,ISNUMBER(G174)),E174/F174*G174,""),"")</f>
        <v/>
      </c>
      <c r="I174" s="63"/>
      <c r="J174" s="63"/>
    </row>
    <row r="175" spans="2:11" ht="3.75" customHeight="1">
      <c r="B175" s="78"/>
      <c r="C175" s="78"/>
      <c r="D175" s="78"/>
      <c r="E175" s="78"/>
      <c r="F175" s="78"/>
      <c r="G175" s="78"/>
      <c r="H175" s="78"/>
      <c r="I175" s="78"/>
      <c r="J175" s="78"/>
      <c r="K175" s="78"/>
    </row>
    <row r="176" spans="2:11" ht="27" customHeight="1">
      <c r="B176" s="50"/>
      <c r="C176" s="51" t="s">
        <v>347</v>
      </c>
      <c r="D176" s="50"/>
      <c r="E176" s="52">
        <v>13000</v>
      </c>
      <c r="F176" s="53">
        <f>IFERROR(SUM(H178,H179,H180,H181,H182,H183,H184,H185,H186,H187,H188,H189,H191,H192,H193,H194,H195),0)</f>
        <v>1444.2845394736842</v>
      </c>
      <c r="G176" s="54">
        <f>IFERROR(E176*'💰 고정비용 DB'!$D$22/'💰 고정비용 DB'!$D$25,0)</f>
        <v>8583.8618577410598</v>
      </c>
      <c r="H176" s="55">
        <f>IFERROR(G176-F176,"")</f>
        <v>7139.5773182673756</v>
      </c>
      <c r="I176" s="56">
        <f>IFERROR(H176/E176,"")</f>
        <v>0.54919825525133659</v>
      </c>
      <c r="J176" s="57" t="str">
        <f>IF(I176="","⬜ 미입력",IF(I176&lt;=0.2,"✅ 양호",IF(I176&lt;=0.32,"🟡 주의","🔴 과다")))</f>
        <v>🔴 과다</v>
      </c>
      <c r="K176" s="50"/>
    </row>
    <row r="177" spans="2:11" ht="12.75" customHeight="1">
      <c r="B177" s="204" t="s">
        <v>291</v>
      </c>
      <c r="C177" s="204"/>
      <c r="D177" s="204"/>
      <c r="E177" s="204"/>
      <c r="F177" s="204"/>
      <c r="G177" s="204"/>
      <c r="H177" s="204"/>
      <c r="I177" s="204"/>
      <c r="J177" s="204"/>
      <c r="K177" s="204"/>
    </row>
    <row r="178" spans="2:11" ht="16.5" customHeight="1">
      <c r="B178" s="58">
        <v>1</v>
      </c>
      <c r="C178" s="17" t="s">
        <v>348</v>
      </c>
      <c r="D178" s="59" t="s">
        <v>292</v>
      </c>
      <c r="E178" s="60">
        <v>15</v>
      </c>
      <c r="F178" s="61">
        <v>1</v>
      </c>
      <c r="G178" s="25" t="str">
        <f>IFERROR(VLOOKUP(C178,'🥬 식재료 DB'!$C$7:$H$121,6,0),"")</f>
        <v/>
      </c>
      <c r="H178" s="62" t="str">
        <f t="shared" ref="H178:H189" si="8">IFERROR(IF(AND(C178&lt;&gt;"",ISNUMBER(E178),ISNUMBER(F178),F178&gt;0,ISNUMBER(G178)),E178/F178*G178,""),"")</f>
        <v/>
      </c>
      <c r="I178" s="63"/>
      <c r="J178" s="63"/>
    </row>
    <row r="179" spans="2:11" ht="16.5" customHeight="1">
      <c r="B179" s="58">
        <v>2</v>
      </c>
      <c r="C179" s="95" t="s">
        <v>215</v>
      </c>
      <c r="D179" s="59" t="s">
        <v>292</v>
      </c>
      <c r="E179" s="96">
        <v>15</v>
      </c>
      <c r="F179" s="97">
        <v>1</v>
      </c>
      <c r="G179" s="25">
        <f>IFERROR(VLOOKUP(C179,'🥬 식재료 DB'!$C$7:$H$121,6,0),"")</f>
        <v>4.25</v>
      </c>
      <c r="H179" s="62">
        <f t="shared" si="8"/>
        <v>63.75</v>
      </c>
      <c r="I179" s="98"/>
      <c r="J179" s="98"/>
    </row>
    <row r="180" spans="2:11" ht="16.5" customHeight="1">
      <c r="B180" s="58">
        <v>3</v>
      </c>
      <c r="C180" s="6" t="s">
        <v>168</v>
      </c>
      <c r="D180" s="59" t="s">
        <v>292</v>
      </c>
      <c r="E180" s="60">
        <v>5</v>
      </c>
      <c r="F180" s="61">
        <v>1</v>
      </c>
      <c r="G180" s="25">
        <f>IFERROR(VLOOKUP(C180,'🥬 식재료 DB'!$C$7:$H$121,6,0),"")</f>
        <v>1</v>
      </c>
      <c r="H180" s="62">
        <f t="shared" si="8"/>
        <v>5</v>
      </c>
      <c r="I180" s="63"/>
      <c r="J180" s="63"/>
    </row>
    <row r="181" spans="2:11" ht="16.5" customHeight="1">
      <c r="B181" s="58">
        <v>4</v>
      </c>
      <c r="C181" s="68"/>
      <c r="D181" s="59" t="s">
        <v>292</v>
      </c>
      <c r="E181" s="69"/>
      <c r="F181" s="70"/>
      <c r="G181" s="25" t="str">
        <f>IFERROR(VLOOKUP(C181,'🥬 식재료 DB'!$C$7:$H$121,6,0),"")</f>
        <v/>
      </c>
      <c r="H181" s="62" t="str">
        <f t="shared" si="8"/>
        <v/>
      </c>
      <c r="I181" s="98"/>
      <c r="J181" s="98"/>
    </row>
    <row r="182" spans="2:11" ht="16.5" customHeight="1">
      <c r="B182" s="58">
        <v>5</v>
      </c>
      <c r="C182" s="68"/>
      <c r="D182" s="59" t="s">
        <v>292</v>
      </c>
      <c r="E182" s="69"/>
      <c r="F182" s="70"/>
      <c r="G182" s="25" t="str">
        <f>IFERROR(VLOOKUP(C182,'🥬 식재료 DB'!$C$7:$H$121,6,0),"")</f>
        <v/>
      </c>
      <c r="H182" s="62" t="str">
        <f t="shared" si="8"/>
        <v/>
      </c>
      <c r="I182" s="63"/>
      <c r="J182" s="63"/>
    </row>
    <row r="183" spans="2:11" ht="16.5" customHeight="1">
      <c r="B183" s="58">
        <v>6</v>
      </c>
      <c r="C183" s="68"/>
      <c r="D183" s="59" t="s">
        <v>292</v>
      </c>
      <c r="E183" s="69"/>
      <c r="F183" s="70"/>
      <c r="G183" s="25" t="str">
        <f>IFERROR(VLOOKUP(C183,'🥬 식재료 DB'!$C$7:$H$121,6,0),"")</f>
        <v/>
      </c>
      <c r="H183" s="62" t="str">
        <f t="shared" si="8"/>
        <v/>
      </c>
      <c r="I183" s="98"/>
      <c r="J183" s="98"/>
    </row>
    <row r="184" spans="2:11" ht="16.5" customHeight="1">
      <c r="B184" s="58">
        <v>7</v>
      </c>
      <c r="C184" s="68"/>
      <c r="D184" s="59" t="s">
        <v>292</v>
      </c>
      <c r="E184" s="69"/>
      <c r="F184" s="70"/>
      <c r="G184" s="25" t="str">
        <f>IFERROR(VLOOKUP(C184,'🥬 식재료 DB'!$C$7:$H$121,6,0),"")</f>
        <v/>
      </c>
      <c r="H184" s="62" t="str">
        <f t="shared" si="8"/>
        <v/>
      </c>
      <c r="I184" s="63"/>
      <c r="J184" s="63"/>
    </row>
    <row r="185" spans="2:11" ht="16.5" customHeight="1">
      <c r="B185" s="58">
        <v>8</v>
      </c>
      <c r="C185" s="68"/>
      <c r="D185" s="59" t="s">
        <v>292</v>
      </c>
      <c r="E185" s="69"/>
      <c r="F185" s="70"/>
      <c r="G185" s="25" t="str">
        <f>IFERROR(VLOOKUP(C185,'🥬 식재료 DB'!$C$7:$H$121,6,0),"")</f>
        <v/>
      </c>
      <c r="H185" s="62" t="str">
        <f t="shared" si="8"/>
        <v/>
      </c>
      <c r="I185" s="98"/>
      <c r="J185" s="98"/>
    </row>
    <row r="186" spans="2:11" ht="16.5" customHeight="1">
      <c r="B186" s="58">
        <v>9</v>
      </c>
      <c r="C186" s="68"/>
      <c r="D186" s="59" t="s">
        <v>292</v>
      </c>
      <c r="E186" s="69"/>
      <c r="F186" s="70"/>
      <c r="G186" s="25" t="str">
        <f>IFERROR(VLOOKUP(C186,'🥬 식재료 DB'!$C$7:$H$121,6,0),"")</f>
        <v/>
      </c>
      <c r="H186" s="62" t="str">
        <f t="shared" si="8"/>
        <v/>
      </c>
      <c r="I186" s="63"/>
      <c r="J186" s="63"/>
    </row>
    <row r="187" spans="2:11" ht="16.5" customHeight="1">
      <c r="B187" s="58">
        <v>10</v>
      </c>
      <c r="C187" s="68"/>
      <c r="D187" s="59" t="s">
        <v>292</v>
      </c>
      <c r="E187" s="69"/>
      <c r="F187" s="70"/>
      <c r="G187" s="25" t="str">
        <f>IFERROR(VLOOKUP(C187,'🥬 식재료 DB'!$C$7:$H$121,6,0),"")</f>
        <v/>
      </c>
      <c r="H187" s="62" t="str">
        <f t="shared" si="8"/>
        <v/>
      </c>
      <c r="I187" s="98"/>
      <c r="J187" s="98"/>
    </row>
    <row r="188" spans="2:11" ht="16.5" customHeight="1">
      <c r="B188" s="58">
        <v>11</v>
      </c>
      <c r="C188" s="68"/>
      <c r="D188" s="59" t="s">
        <v>292</v>
      </c>
      <c r="E188" s="69"/>
      <c r="F188" s="70"/>
      <c r="G188" s="25" t="str">
        <f>IFERROR(VLOOKUP(C188,'🥬 식재료 DB'!$C$7:$H$121,6,0),"")</f>
        <v/>
      </c>
      <c r="H188" s="62" t="str">
        <f t="shared" si="8"/>
        <v/>
      </c>
      <c r="I188" s="63"/>
      <c r="J188" s="63"/>
    </row>
    <row r="189" spans="2:11" ht="16.5" customHeight="1">
      <c r="B189" s="58">
        <v>12</v>
      </c>
      <c r="C189" s="68"/>
      <c r="D189" s="59" t="s">
        <v>292</v>
      </c>
      <c r="E189" s="69"/>
      <c r="F189" s="70"/>
      <c r="G189" s="25" t="str">
        <f>IFERROR(VLOOKUP(C189,'🥬 식재료 DB'!$C$7:$H$121,6,0),"")</f>
        <v/>
      </c>
      <c r="H189" s="62" t="str">
        <f t="shared" si="8"/>
        <v/>
      </c>
      <c r="I189" s="98"/>
      <c r="J189" s="98"/>
    </row>
    <row r="190" spans="2:11" ht="12.75" customHeight="1">
      <c r="B190" s="203" t="s">
        <v>293</v>
      </c>
      <c r="C190" s="203"/>
      <c r="D190" s="203"/>
      <c r="E190" s="203"/>
      <c r="F190" s="203"/>
      <c r="G190" s="203"/>
      <c r="H190" s="203"/>
      <c r="I190" s="203"/>
      <c r="J190" s="203"/>
      <c r="K190" s="203"/>
    </row>
    <row r="191" spans="2:11" ht="16.5" customHeight="1">
      <c r="B191" s="71">
        <v>13</v>
      </c>
      <c r="C191" s="6" t="s">
        <v>349</v>
      </c>
      <c r="D191" s="72" t="s">
        <v>295</v>
      </c>
      <c r="E191" s="60">
        <v>210</v>
      </c>
      <c r="F191" s="61">
        <v>1</v>
      </c>
      <c r="G191" s="73">
        <f>IFERROR(VLOOKUP(C191,'🧪 프렙 원가표'!$C$8:$D$18,2,0),IFERROR(VLOOKUP(C191,'🥬 식재료 DB'!$C$7:$H$121,6,0),""))</f>
        <v>6.5501644736842106</v>
      </c>
      <c r="H191" s="74">
        <f>IFERROR(IF(AND(C191&lt;&gt;"",ISNUMBER(E191),ISNUMBER(F191),F191&gt;0,ISNUMBER(G191)),E191/F191*G191,""),"")</f>
        <v>1375.5345394736842</v>
      </c>
      <c r="I191" s="63"/>
      <c r="J191" s="63"/>
    </row>
    <row r="192" spans="2:11" ht="16.5" customHeight="1">
      <c r="B192" s="71">
        <v>14</v>
      </c>
      <c r="C192" s="68"/>
      <c r="D192" s="72" t="s">
        <v>295</v>
      </c>
      <c r="E192" s="69"/>
      <c r="F192" s="70"/>
      <c r="G192" s="73" t="str">
        <f>IFERROR(VLOOKUP(C192,'🧪 프렙 원가표'!$C$8:$D$18,2,0),IFERROR(VLOOKUP(C192,'🥬 식재료 DB'!$C$7:$H$121,6,0),""))</f>
        <v/>
      </c>
      <c r="H192" s="74" t="str">
        <f>IFERROR(IF(AND(C192&lt;&gt;"",ISNUMBER(E192),ISNUMBER(F192),F192&gt;0,ISNUMBER(G192)),E192/F192*G192,""),"")</f>
        <v/>
      </c>
      <c r="I192" s="77"/>
      <c r="J192" s="77"/>
    </row>
    <row r="193" spans="2:11" ht="16.5" customHeight="1">
      <c r="B193" s="71">
        <v>15</v>
      </c>
      <c r="C193" s="68"/>
      <c r="D193" s="72" t="s">
        <v>295</v>
      </c>
      <c r="E193" s="69"/>
      <c r="F193" s="70"/>
      <c r="G193" s="73" t="str">
        <f>IFERROR(VLOOKUP(C193,'🧪 프렙 원가표'!$C$8:$D$18,2,0),IFERROR(VLOOKUP(C193,'🥬 식재료 DB'!$C$7:$H$121,6,0),""))</f>
        <v/>
      </c>
      <c r="H193" s="74" t="str">
        <f>IFERROR(IF(AND(C193&lt;&gt;"",ISNUMBER(E193),ISNUMBER(F193),F193&gt;0,ISNUMBER(G193)),E193/F193*G193,""),"")</f>
        <v/>
      </c>
      <c r="I193" s="63"/>
      <c r="J193" s="63"/>
    </row>
    <row r="194" spans="2:11" ht="16.5" customHeight="1">
      <c r="B194" s="71">
        <v>16</v>
      </c>
      <c r="C194" s="68"/>
      <c r="D194" s="72" t="s">
        <v>295</v>
      </c>
      <c r="E194" s="69"/>
      <c r="F194" s="70"/>
      <c r="G194" s="73" t="str">
        <f>IFERROR(VLOOKUP(C194,'🧪 프렙 원가표'!$C$8:$D$18,2,0),IFERROR(VLOOKUP(C194,'🥬 식재료 DB'!$C$7:$H$121,6,0),""))</f>
        <v/>
      </c>
      <c r="H194" s="74" t="str">
        <f>IFERROR(IF(AND(C194&lt;&gt;"",ISNUMBER(E194),ISNUMBER(F194),F194&gt;0,ISNUMBER(G194)),E194/F194*G194,""),"")</f>
        <v/>
      </c>
      <c r="I194" s="77"/>
      <c r="J194" s="77"/>
    </row>
    <row r="195" spans="2:11" ht="16.5" customHeight="1">
      <c r="B195" s="71">
        <v>17</v>
      </c>
      <c r="C195" s="68"/>
      <c r="D195" s="72" t="s">
        <v>295</v>
      </c>
      <c r="E195" s="69"/>
      <c r="F195" s="70"/>
      <c r="G195" s="73" t="str">
        <f>IFERROR(VLOOKUP(C195,'🧪 프렙 원가표'!$C$8:$D$18,2,0),IFERROR(VLOOKUP(C195,'🥬 식재료 DB'!$C$7:$H$121,6,0),""))</f>
        <v/>
      </c>
      <c r="H195" s="74" t="str">
        <f>IFERROR(IF(AND(C195&lt;&gt;"",ISNUMBER(E195),ISNUMBER(F195),F195&gt;0,ISNUMBER(G195)),E195/F195*G195,""),"")</f>
        <v/>
      </c>
      <c r="I195" s="63"/>
      <c r="J195" s="63"/>
    </row>
    <row r="196" spans="2:11" ht="3.75" customHeight="1">
      <c r="B196" s="78"/>
      <c r="C196" s="78"/>
      <c r="D196" s="78"/>
      <c r="E196" s="78"/>
      <c r="F196" s="78"/>
      <c r="G196" s="78"/>
      <c r="H196" s="78"/>
      <c r="I196" s="78"/>
      <c r="J196" s="78"/>
      <c r="K196" s="78"/>
    </row>
    <row r="197" spans="2:11" ht="27" customHeight="1">
      <c r="B197" s="50"/>
      <c r="C197" s="51" t="s">
        <v>350</v>
      </c>
      <c r="D197" s="50"/>
      <c r="E197" s="52">
        <v>12000</v>
      </c>
      <c r="F197" s="53">
        <f>IFERROR(SUM(H199,H200,H201,H202,H203,H204,H205,H206,H207,H208,H209,H210,H212,H213,H214,H215,H216),0)</f>
        <v>1608.28125</v>
      </c>
      <c r="G197" s="54">
        <f>IFERROR(E197*'💰 고정비용 DB'!$D$22/'💰 고정비용 DB'!$D$25,0)</f>
        <v>7923.5647917609776</v>
      </c>
      <c r="H197" s="55">
        <f>IFERROR(G197-F197,"")</f>
        <v>6315.2835417609776</v>
      </c>
      <c r="I197" s="56">
        <f>IFERROR(H197/E197,"")</f>
        <v>0.52627362848008152</v>
      </c>
      <c r="J197" s="57" t="str">
        <f>IF(I197="","⬜ 미입력",IF(I197&lt;=0.2,"✅ 양호",IF(I197&lt;=0.32,"🟡 주의","🔴 과다")))</f>
        <v>🔴 과다</v>
      </c>
      <c r="K197" s="50"/>
    </row>
    <row r="198" spans="2:11" ht="12.75" customHeight="1">
      <c r="B198" s="204" t="s">
        <v>291</v>
      </c>
      <c r="C198" s="204"/>
      <c r="D198" s="204"/>
      <c r="E198" s="204"/>
      <c r="F198" s="204"/>
      <c r="G198" s="204"/>
      <c r="H198" s="204"/>
      <c r="I198" s="204"/>
      <c r="J198" s="204"/>
      <c r="K198" s="204"/>
    </row>
    <row r="199" spans="2:11" ht="16.5" customHeight="1">
      <c r="B199" s="58">
        <v>1</v>
      </c>
      <c r="C199" s="6" t="s">
        <v>215</v>
      </c>
      <c r="D199" s="59" t="s">
        <v>292</v>
      </c>
      <c r="E199" s="60">
        <v>15</v>
      </c>
      <c r="F199" s="61">
        <v>1</v>
      </c>
      <c r="G199" s="25">
        <f>IFERROR(VLOOKUP(C199,'🥬 식재료 DB'!$C$7:$H$121,6,0),"")</f>
        <v>4.25</v>
      </c>
      <c r="H199" s="62">
        <f t="shared" ref="H199:H210" si="9">IFERROR(IF(AND(C199&lt;&gt;"",ISNUMBER(E199),ISNUMBER(F199),F199&gt;0,ISNUMBER(G199)),E199/F199*G199,""),"")</f>
        <v>63.75</v>
      </c>
      <c r="I199" s="63"/>
      <c r="J199" s="63"/>
    </row>
    <row r="200" spans="2:11" ht="16.5" customHeight="1">
      <c r="B200" s="58">
        <v>2</v>
      </c>
      <c r="C200" s="95" t="s">
        <v>143</v>
      </c>
      <c r="D200" s="59" t="s">
        <v>292</v>
      </c>
      <c r="E200" s="96">
        <v>20</v>
      </c>
      <c r="F200" s="97">
        <v>1</v>
      </c>
      <c r="G200" s="25">
        <f>IFERROR(VLOOKUP(C200,'🥬 식재료 DB'!$C$7:$H$121,6,0),"")</f>
        <v>10</v>
      </c>
      <c r="H200" s="62">
        <f t="shared" si="9"/>
        <v>200</v>
      </c>
      <c r="I200" s="98"/>
      <c r="J200" s="98"/>
    </row>
    <row r="201" spans="2:11" ht="16.5" customHeight="1">
      <c r="B201" s="58">
        <v>3</v>
      </c>
      <c r="C201" s="6" t="s">
        <v>144</v>
      </c>
      <c r="D201" s="59" t="s">
        <v>292</v>
      </c>
      <c r="E201" s="60">
        <v>10</v>
      </c>
      <c r="F201" s="61">
        <v>1</v>
      </c>
      <c r="G201" s="25">
        <f>IFERROR(VLOOKUP(C201,'🥬 식재료 DB'!$C$7:$H$121,6,0),"")</f>
        <v>9</v>
      </c>
      <c r="H201" s="62">
        <f t="shared" si="9"/>
        <v>90</v>
      </c>
      <c r="I201" s="63"/>
      <c r="J201" s="63"/>
    </row>
    <row r="202" spans="2:11" ht="16.5" customHeight="1">
      <c r="B202" s="58">
        <v>4</v>
      </c>
      <c r="C202" s="95" t="s">
        <v>341</v>
      </c>
      <c r="D202" s="59" t="s">
        <v>292</v>
      </c>
      <c r="E202" s="96">
        <v>2</v>
      </c>
      <c r="F202" s="97">
        <v>1</v>
      </c>
      <c r="G202" s="25" t="str">
        <f>IFERROR(VLOOKUP(C202,'🥬 식재료 DB'!$C$7:$H$121,6,0),"")</f>
        <v/>
      </c>
      <c r="H202" s="62" t="str">
        <f t="shared" si="9"/>
        <v/>
      </c>
      <c r="I202" s="98"/>
      <c r="J202" s="98"/>
    </row>
    <row r="203" spans="2:11" ht="16.5" customHeight="1">
      <c r="B203" s="58">
        <v>5</v>
      </c>
      <c r="C203" s="6" t="s">
        <v>351</v>
      </c>
      <c r="D203" s="59" t="s">
        <v>292</v>
      </c>
      <c r="E203" s="60">
        <v>3</v>
      </c>
      <c r="F203" s="61">
        <v>1</v>
      </c>
      <c r="G203" s="25" t="str">
        <f>IFERROR(VLOOKUP(C203,'🥬 식재료 DB'!$C$7:$H$121,6,0),"")</f>
        <v/>
      </c>
      <c r="H203" s="62" t="str">
        <f t="shared" si="9"/>
        <v/>
      </c>
      <c r="I203" s="63"/>
      <c r="J203" s="63"/>
    </row>
    <row r="204" spans="2:11" ht="16.5" customHeight="1">
      <c r="B204" s="58">
        <v>6</v>
      </c>
      <c r="C204" s="95" t="s">
        <v>168</v>
      </c>
      <c r="D204" s="59" t="s">
        <v>292</v>
      </c>
      <c r="E204" s="96">
        <v>10</v>
      </c>
      <c r="F204" s="97">
        <v>1</v>
      </c>
      <c r="G204" s="25">
        <f>IFERROR(VLOOKUP(C204,'🥬 식재료 DB'!$C$7:$H$121,6,0),"")</f>
        <v>1</v>
      </c>
      <c r="H204" s="62">
        <f t="shared" si="9"/>
        <v>10</v>
      </c>
      <c r="I204" s="98"/>
      <c r="J204" s="98"/>
    </row>
    <row r="205" spans="2:11" ht="16.5" customHeight="1">
      <c r="B205" s="58">
        <v>7</v>
      </c>
      <c r="C205" s="68"/>
      <c r="D205" s="59" t="s">
        <v>292</v>
      </c>
      <c r="E205" s="69"/>
      <c r="F205" s="70"/>
      <c r="G205" s="25" t="str">
        <f>IFERROR(VLOOKUP(C205,'🥬 식재료 DB'!$C$7:$H$121,6,0),"")</f>
        <v/>
      </c>
      <c r="H205" s="62" t="str">
        <f t="shared" si="9"/>
        <v/>
      </c>
      <c r="I205" s="63"/>
      <c r="J205" s="63"/>
    </row>
    <row r="206" spans="2:11" ht="16.5" customHeight="1">
      <c r="B206" s="58">
        <v>8</v>
      </c>
      <c r="C206" s="68"/>
      <c r="D206" s="59" t="s">
        <v>292</v>
      </c>
      <c r="E206" s="69"/>
      <c r="F206" s="70"/>
      <c r="G206" s="25" t="str">
        <f>IFERROR(VLOOKUP(C206,'🥬 식재료 DB'!$C$7:$H$121,6,0),"")</f>
        <v/>
      </c>
      <c r="H206" s="62" t="str">
        <f t="shared" si="9"/>
        <v/>
      </c>
      <c r="I206" s="98"/>
      <c r="J206" s="98"/>
    </row>
    <row r="207" spans="2:11" ht="16.5" customHeight="1">
      <c r="B207" s="58">
        <v>9</v>
      </c>
      <c r="C207" s="68"/>
      <c r="D207" s="59" t="s">
        <v>292</v>
      </c>
      <c r="E207" s="69"/>
      <c r="F207" s="70"/>
      <c r="G207" s="25" t="str">
        <f>IFERROR(VLOOKUP(C207,'🥬 식재료 DB'!$C$7:$H$121,6,0),"")</f>
        <v/>
      </c>
      <c r="H207" s="62" t="str">
        <f t="shared" si="9"/>
        <v/>
      </c>
      <c r="I207" s="63"/>
      <c r="J207" s="63"/>
    </row>
    <row r="208" spans="2:11" ht="16.5" customHeight="1">
      <c r="B208" s="58">
        <v>10</v>
      </c>
      <c r="C208" s="68"/>
      <c r="D208" s="59" t="s">
        <v>292</v>
      </c>
      <c r="E208" s="69"/>
      <c r="F208" s="70"/>
      <c r="G208" s="25" t="str">
        <f>IFERROR(VLOOKUP(C208,'🥬 식재료 DB'!$C$7:$H$121,6,0),"")</f>
        <v/>
      </c>
      <c r="H208" s="62" t="str">
        <f t="shared" si="9"/>
        <v/>
      </c>
      <c r="I208" s="98"/>
      <c r="J208" s="98"/>
    </row>
    <row r="209" spans="2:11" ht="16.5" customHeight="1">
      <c r="B209" s="58">
        <v>11</v>
      </c>
      <c r="C209" s="68"/>
      <c r="D209" s="59" t="s">
        <v>292</v>
      </c>
      <c r="E209" s="69"/>
      <c r="F209" s="70"/>
      <c r="G209" s="25" t="str">
        <f>IFERROR(VLOOKUP(C209,'🥬 식재료 DB'!$C$7:$H$121,6,0),"")</f>
        <v/>
      </c>
      <c r="H209" s="62" t="str">
        <f t="shared" si="9"/>
        <v/>
      </c>
      <c r="I209" s="63"/>
      <c r="J209" s="63"/>
    </row>
    <row r="210" spans="2:11" ht="16.5" customHeight="1">
      <c r="B210" s="58">
        <v>12</v>
      </c>
      <c r="C210" s="68"/>
      <c r="D210" s="59" t="s">
        <v>292</v>
      </c>
      <c r="E210" s="69"/>
      <c r="F210" s="70"/>
      <c r="G210" s="25" t="str">
        <f>IFERROR(VLOOKUP(C210,'🥬 식재료 DB'!$C$7:$H$121,6,0),"")</f>
        <v/>
      </c>
      <c r="H210" s="62" t="str">
        <f t="shared" si="9"/>
        <v/>
      </c>
      <c r="I210" s="98"/>
      <c r="J210" s="98"/>
    </row>
    <row r="211" spans="2:11" ht="12.75" customHeight="1">
      <c r="B211" s="203" t="s">
        <v>293</v>
      </c>
      <c r="C211" s="203"/>
      <c r="D211" s="203"/>
      <c r="E211" s="203"/>
      <c r="F211" s="203"/>
      <c r="G211" s="203"/>
      <c r="H211" s="203"/>
      <c r="I211" s="203"/>
      <c r="J211" s="203"/>
      <c r="K211" s="203"/>
    </row>
    <row r="212" spans="2:11" ht="16.5" customHeight="1">
      <c r="B212" s="71">
        <v>13</v>
      </c>
      <c r="C212" s="6" t="s">
        <v>349</v>
      </c>
      <c r="D212" s="72" t="s">
        <v>295</v>
      </c>
      <c r="E212" s="60">
        <v>190</v>
      </c>
      <c r="F212" s="61">
        <v>1</v>
      </c>
      <c r="G212" s="73">
        <f>IFERROR(VLOOKUP(C212,'🧪 프렙 원가표'!$C$8:$D$18,2,0),IFERROR(VLOOKUP(C212,'🥬 식재료 DB'!$C$7:$H$121,6,0),""))</f>
        <v>6.5501644736842106</v>
      </c>
      <c r="H212" s="74">
        <f>IFERROR(IF(AND(C212&lt;&gt;"",ISNUMBER(E212),ISNUMBER(F212),F212&gt;0,ISNUMBER(G212)),E212/F212*G212,""),"")</f>
        <v>1244.53125</v>
      </c>
      <c r="I212" s="63"/>
      <c r="J212" s="63"/>
    </row>
    <row r="213" spans="2:11" ht="16.5" customHeight="1">
      <c r="B213" s="71">
        <v>14</v>
      </c>
      <c r="C213" s="68"/>
      <c r="D213" s="72" t="s">
        <v>295</v>
      </c>
      <c r="E213" s="69"/>
      <c r="F213" s="70"/>
      <c r="G213" s="73" t="str">
        <f>IFERROR(VLOOKUP(C213,'🧪 프렙 원가표'!$C$8:$D$18,2,0),IFERROR(VLOOKUP(C213,'🥬 식재료 DB'!$C$7:$H$121,6,0),""))</f>
        <v/>
      </c>
      <c r="H213" s="74" t="str">
        <f>IFERROR(IF(AND(C213&lt;&gt;"",ISNUMBER(E213),ISNUMBER(F213),F213&gt;0,ISNUMBER(G213)),E213/F213*G213,""),"")</f>
        <v/>
      </c>
      <c r="I213" s="77"/>
      <c r="J213" s="77"/>
    </row>
    <row r="214" spans="2:11" ht="16.5" customHeight="1">
      <c r="B214" s="71">
        <v>15</v>
      </c>
      <c r="C214" s="68"/>
      <c r="D214" s="72" t="s">
        <v>295</v>
      </c>
      <c r="E214" s="69"/>
      <c r="F214" s="70"/>
      <c r="G214" s="73" t="str">
        <f>IFERROR(VLOOKUP(C214,'🧪 프렙 원가표'!$C$8:$D$18,2,0),IFERROR(VLOOKUP(C214,'🥬 식재료 DB'!$C$7:$H$121,6,0),""))</f>
        <v/>
      </c>
      <c r="H214" s="74" t="str">
        <f>IFERROR(IF(AND(C214&lt;&gt;"",ISNUMBER(E214),ISNUMBER(F214),F214&gt;0,ISNUMBER(G214)),E214/F214*G214,""),"")</f>
        <v/>
      </c>
      <c r="I214" s="63"/>
      <c r="J214" s="63"/>
    </row>
    <row r="215" spans="2:11" ht="16.5" customHeight="1">
      <c r="B215" s="71">
        <v>16</v>
      </c>
      <c r="C215" s="68"/>
      <c r="D215" s="72" t="s">
        <v>295</v>
      </c>
      <c r="E215" s="69"/>
      <c r="F215" s="70"/>
      <c r="G215" s="73" t="str">
        <f>IFERROR(VLOOKUP(C215,'🧪 프렙 원가표'!$C$8:$D$18,2,0),IFERROR(VLOOKUP(C215,'🥬 식재료 DB'!$C$7:$H$121,6,0),""))</f>
        <v/>
      </c>
      <c r="H215" s="74" t="str">
        <f>IFERROR(IF(AND(C215&lt;&gt;"",ISNUMBER(E215),ISNUMBER(F215),F215&gt;0,ISNUMBER(G215)),E215/F215*G215,""),"")</f>
        <v/>
      </c>
      <c r="I215" s="77"/>
      <c r="J215" s="77"/>
    </row>
    <row r="216" spans="2:11" ht="16.5" customHeight="1">
      <c r="B216" s="71">
        <v>17</v>
      </c>
      <c r="C216" s="68"/>
      <c r="D216" s="72" t="s">
        <v>295</v>
      </c>
      <c r="E216" s="69"/>
      <c r="F216" s="70"/>
      <c r="G216" s="73" t="str">
        <f>IFERROR(VLOOKUP(C216,'🧪 프렙 원가표'!$C$8:$D$18,2,0),IFERROR(VLOOKUP(C216,'🥬 식재료 DB'!$C$7:$H$121,6,0),""))</f>
        <v/>
      </c>
      <c r="H216" s="74" t="str">
        <f>IFERROR(IF(AND(C216&lt;&gt;"",ISNUMBER(E216),ISNUMBER(F216),F216&gt;0,ISNUMBER(G216)),E216/F216*G216,""),"")</f>
        <v/>
      </c>
      <c r="I216" s="63"/>
      <c r="J216" s="63"/>
    </row>
    <row r="217" spans="2:11" ht="3.75" customHeight="1">
      <c r="B217" s="78"/>
      <c r="C217" s="78"/>
      <c r="D217" s="78"/>
      <c r="E217" s="78"/>
      <c r="F217" s="78"/>
      <c r="G217" s="78"/>
      <c r="H217" s="78"/>
      <c r="I217" s="78"/>
      <c r="J217" s="78"/>
      <c r="K217" s="78"/>
    </row>
    <row r="218" spans="2:11" ht="27" customHeight="1">
      <c r="B218" s="50"/>
      <c r="C218" s="51" t="s">
        <v>352</v>
      </c>
      <c r="D218" s="50"/>
      <c r="E218" s="52">
        <v>13000</v>
      </c>
      <c r="F218" s="53">
        <f>IFERROR(SUM(H220,H221,H222,H223,H224,H225,H226,H227,H228,H229,H230,H231,H233,H234,H235,H236,H237),0)</f>
        <v>1122.8580840455841</v>
      </c>
      <c r="G218" s="54">
        <f>IFERROR(E218*'💰 고정비용 DB'!$D$22/'💰 고정비용 DB'!$D$25,0)</f>
        <v>8583.8618577410598</v>
      </c>
      <c r="H218" s="55">
        <f>IFERROR(G218-F218,"")</f>
        <v>7461.0037736954755</v>
      </c>
      <c r="I218" s="56">
        <f>IFERROR(H218/E218,"")</f>
        <v>0.57392336720734427</v>
      </c>
      <c r="J218" s="57" t="str">
        <f>IF(I218="","⬜ 미입력",IF(I218&lt;=0.2,"✅ 양호",IF(I218&lt;=0.32,"🟡 주의","🔴 과다")))</f>
        <v>🔴 과다</v>
      </c>
      <c r="K218" s="50"/>
    </row>
    <row r="219" spans="2:11" ht="12.75" customHeight="1">
      <c r="B219" s="204" t="s">
        <v>291</v>
      </c>
      <c r="C219" s="204"/>
      <c r="D219" s="204"/>
      <c r="E219" s="204"/>
      <c r="F219" s="204"/>
      <c r="G219" s="204"/>
      <c r="H219" s="204"/>
      <c r="I219" s="204"/>
      <c r="J219" s="204"/>
      <c r="K219" s="204"/>
    </row>
    <row r="220" spans="2:11" ht="16.5" customHeight="1">
      <c r="B220" s="58">
        <v>1</v>
      </c>
      <c r="C220" s="6" t="s">
        <v>140</v>
      </c>
      <c r="D220" s="59" t="s">
        <v>292</v>
      </c>
      <c r="E220" s="60">
        <v>10</v>
      </c>
      <c r="F220" s="61">
        <v>1</v>
      </c>
      <c r="G220" s="25">
        <f>IFERROR(VLOOKUP(C220,'🥬 식재료 DB'!$C$7:$H$121,6,0),"")</f>
        <v>0.93333333333333335</v>
      </c>
      <c r="H220" s="62">
        <f t="shared" ref="H220:H231" si="10">IFERROR(IF(AND(C220&lt;&gt;"",ISNUMBER(E220),ISNUMBER(F220),F220&gt;0,ISNUMBER(G220)),E220/F220*G220,""),"")</f>
        <v>9.3333333333333339</v>
      </c>
      <c r="I220" s="63"/>
      <c r="J220" s="63"/>
    </row>
    <row r="221" spans="2:11" ht="16.5" customHeight="1">
      <c r="B221" s="58">
        <v>2</v>
      </c>
      <c r="C221" s="95" t="s">
        <v>223</v>
      </c>
      <c r="D221" s="59" t="s">
        <v>292</v>
      </c>
      <c r="E221" s="96">
        <v>15</v>
      </c>
      <c r="F221" s="97">
        <v>1</v>
      </c>
      <c r="G221" s="25">
        <f>IFERROR(VLOOKUP(C221,'🥬 식재료 DB'!$C$7:$H$121,6,0),"")</f>
        <v>10</v>
      </c>
      <c r="H221" s="62">
        <f t="shared" si="10"/>
        <v>150</v>
      </c>
      <c r="I221" s="98"/>
      <c r="J221" s="98"/>
    </row>
    <row r="222" spans="2:11" ht="16.5" customHeight="1">
      <c r="B222" s="58">
        <v>3</v>
      </c>
      <c r="C222" s="6" t="s">
        <v>301</v>
      </c>
      <c r="D222" s="59" t="s">
        <v>292</v>
      </c>
      <c r="E222" s="60">
        <v>5</v>
      </c>
      <c r="F222" s="61">
        <v>1</v>
      </c>
      <c r="G222" s="25" t="str">
        <f>IFERROR(VLOOKUP(C222,'🥬 식재료 DB'!$C$7:$H$121,6,0),"")</f>
        <v/>
      </c>
      <c r="H222" s="62" t="str">
        <f t="shared" si="10"/>
        <v/>
      </c>
      <c r="I222" s="63"/>
      <c r="J222" s="63"/>
    </row>
    <row r="223" spans="2:11" ht="16.5" customHeight="1">
      <c r="B223" s="58">
        <v>4</v>
      </c>
      <c r="C223" s="99" t="s">
        <v>177</v>
      </c>
      <c r="D223" s="59" t="s">
        <v>292</v>
      </c>
      <c r="E223" s="96">
        <v>10</v>
      </c>
      <c r="F223" s="97">
        <v>1</v>
      </c>
      <c r="G223" s="25">
        <f>IFERROR(VLOOKUP(C223,'🥬 식재료 DB'!$C$7:$H$121,6,0),"")</f>
        <v>22.5</v>
      </c>
      <c r="H223" s="62">
        <f t="shared" si="10"/>
        <v>225</v>
      </c>
      <c r="I223" s="98"/>
      <c r="J223" s="98"/>
    </row>
    <row r="224" spans="2:11" ht="16.5" customHeight="1">
      <c r="B224" s="58">
        <v>5</v>
      </c>
      <c r="C224" s="17" t="s">
        <v>302</v>
      </c>
      <c r="D224" s="59" t="s">
        <v>292</v>
      </c>
      <c r="E224" s="60">
        <v>10</v>
      </c>
      <c r="F224" s="61">
        <v>1</v>
      </c>
      <c r="G224" s="25" t="str">
        <f>IFERROR(VLOOKUP(C224,'🥬 식재료 DB'!$C$7:$H$121,6,0),"")</f>
        <v/>
      </c>
      <c r="H224" s="62" t="str">
        <f t="shared" si="10"/>
        <v/>
      </c>
      <c r="I224" s="63"/>
      <c r="J224" s="63"/>
    </row>
    <row r="225" spans="2:11" ht="16.5" customHeight="1">
      <c r="B225" s="58">
        <v>6</v>
      </c>
      <c r="C225" s="95" t="s">
        <v>215</v>
      </c>
      <c r="D225" s="59" t="s">
        <v>292</v>
      </c>
      <c r="E225" s="96">
        <v>20</v>
      </c>
      <c r="F225" s="97">
        <v>1</v>
      </c>
      <c r="G225" s="25">
        <f>IFERROR(VLOOKUP(C225,'🥬 식재료 DB'!$C$7:$H$121,6,0),"")</f>
        <v>4.25</v>
      </c>
      <c r="H225" s="62">
        <f t="shared" si="10"/>
        <v>85</v>
      </c>
      <c r="I225" s="98"/>
      <c r="J225" s="98"/>
    </row>
    <row r="226" spans="2:11" ht="16.5" customHeight="1">
      <c r="B226" s="58">
        <v>7</v>
      </c>
      <c r="C226" s="6" t="s">
        <v>227</v>
      </c>
      <c r="D226" s="59" t="s">
        <v>292</v>
      </c>
      <c r="E226" s="60">
        <v>10</v>
      </c>
      <c r="F226" s="61">
        <v>1</v>
      </c>
      <c r="G226" s="25">
        <f>IFERROR(VLOOKUP(C226,'🥬 식재료 DB'!$C$7:$H$121,6,0),"")</f>
        <v>6</v>
      </c>
      <c r="H226" s="62">
        <f t="shared" si="10"/>
        <v>60</v>
      </c>
      <c r="I226" s="63"/>
      <c r="J226" s="63"/>
    </row>
    <row r="227" spans="2:11" ht="16.5" customHeight="1">
      <c r="B227" s="58">
        <v>8</v>
      </c>
      <c r="C227" s="95" t="s">
        <v>168</v>
      </c>
      <c r="D227" s="59" t="s">
        <v>292</v>
      </c>
      <c r="E227" s="96">
        <v>10</v>
      </c>
      <c r="F227" s="97">
        <v>1</v>
      </c>
      <c r="G227" s="25">
        <f>IFERROR(VLOOKUP(C227,'🥬 식재료 DB'!$C$7:$H$121,6,0),"")</f>
        <v>1</v>
      </c>
      <c r="H227" s="62">
        <f t="shared" si="10"/>
        <v>10</v>
      </c>
      <c r="I227" s="98"/>
      <c r="J227" s="98"/>
    </row>
    <row r="228" spans="2:11" ht="16.5" customHeight="1">
      <c r="B228" s="58">
        <v>9</v>
      </c>
      <c r="C228" s="68"/>
      <c r="D228" s="59" t="s">
        <v>292</v>
      </c>
      <c r="E228" s="69"/>
      <c r="F228" s="70"/>
      <c r="G228" s="25" t="str">
        <f>IFERROR(VLOOKUP(C228,'🥬 식재료 DB'!$C$7:$H$121,6,0),"")</f>
        <v/>
      </c>
      <c r="H228" s="62" t="str">
        <f t="shared" si="10"/>
        <v/>
      </c>
      <c r="I228" s="63"/>
      <c r="J228" s="63"/>
    </row>
    <row r="229" spans="2:11" ht="16.5" customHeight="1">
      <c r="B229" s="58">
        <v>10</v>
      </c>
      <c r="C229" s="68"/>
      <c r="D229" s="59" t="s">
        <v>292</v>
      </c>
      <c r="E229" s="69"/>
      <c r="F229" s="70"/>
      <c r="G229" s="25" t="str">
        <f>IFERROR(VLOOKUP(C229,'🥬 식재료 DB'!$C$7:$H$121,6,0),"")</f>
        <v/>
      </c>
      <c r="H229" s="62" t="str">
        <f t="shared" si="10"/>
        <v/>
      </c>
      <c r="I229" s="98"/>
      <c r="J229" s="98"/>
    </row>
    <row r="230" spans="2:11" ht="16.5" customHeight="1">
      <c r="B230" s="58">
        <v>11</v>
      </c>
      <c r="C230" s="68"/>
      <c r="D230" s="59" t="s">
        <v>292</v>
      </c>
      <c r="E230" s="69"/>
      <c r="F230" s="70"/>
      <c r="G230" s="25" t="str">
        <f>IFERROR(VLOOKUP(C230,'🥬 식재료 DB'!$C$7:$H$121,6,0),"")</f>
        <v/>
      </c>
      <c r="H230" s="62" t="str">
        <f t="shared" si="10"/>
        <v/>
      </c>
      <c r="I230" s="63"/>
      <c r="J230" s="63"/>
    </row>
    <row r="231" spans="2:11" ht="16.5" customHeight="1">
      <c r="B231" s="58">
        <v>12</v>
      </c>
      <c r="C231" s="68"/>
      <c r="D231" s="59" t="s">
        <v>292</v>
      </c>
      <c r="E231" s="69"/>
      <c r="F231" s="70"/>
      <c r="G231" s="25" t="str">
        <f>IFERROR(VLOOKUP(C231,'🥬 식재료 DB'!$C$7:$H$121,6,0),"")</f>
        <v/>
      </c>
      <c r="H231" s="62" t="str">
        <f t="shared" si="10"/>
        <v/>
      </c>
      <c r="I231" s="98"/>
      <c r="J231" s="98"/>
    </row>
    <row r="232" spans="2:11" ht="12.75" customHeight="1">
      <c r="B232" s="203" t="s">
        <v>293</v>
      </c>
      <c r="C232" s="203"/>
      <c r="D232" s="203"/>
      <c r="E232" s="203"/>
      <c r="F232" s="203"/>
      <c r="G232" s="203"/>
      <c r="H232" s="203"/>
      <c r="I232" s="203"/>
      <c r="J232" s="203"/>
      <c r="K232" s="203"/>
    </row>
    <row r="233" spans="2:11" ht="16.5" customHeight="1">
      <c r="B233" s="71">
        <v>13</v>
      </c>
      <c r="C233" s="6" t="s">
        <v>353</v>
      </c>
      <c r="D233" s="72" t="s">
        <v>295</v>
      </c>
      <c r="E233" s="60">
        <v>80</v>
      </c>
      <c r="F233" s="61">
        <v>1</v>
      </c>
      <c r="G233" s="73" t="str">
        <f>IFERROR(VLOOKUP(C233,'🧪 프렙 원가표'!$C$8:$D$18,2,0),IFERROR(VLOOKUP(C233,'🥬 식재료 DB'!$C$7:$H$121,6,0),""))</f>
        <v/>
      </c>
      <c r="H233" s="74" t="str">
        <f>IFERROR(IF(AND(C233&lt;&gt;"",ISNUMBER(E233),ISNUMBER(F233),F233&gt;0,ISNUMBER(G233)),E233/F233*G233,""),"")</f>
        <v/>
      </c>
      <c r="I233" s="63"/>
      <c r="J233" s="63"/>
    </row>
    <row r="234" spans="2:11" ht="16.5" customHeight="1">
      <c r="B234" s="71">
        <v>14</v>
      </c>
      <c r="C234" s="12" t="s">
        <v>294</v>
      </c>
      <c r="D234" s="72" t="s">
        <v>295</v>
      </c>
      <c r="E234" s="75">
        <v>200</v>
      </c>
      <c r="F234" s="76">
        <v>1</v>
      </c>
      <c r="G234" s="73">
        <f>IFERROR(VLOOKUP(C234,'🧪 프렙 원가표'!$C$8:$D$18,2,0),IFERROR(VLOOKUP(C234,'🥬 식재료 DB'!$C$7:$H$121,6,0),""))</f>
        <v>2.9176237535612533</v>
      </c>
      <c r="H234" s="74">
        <f>IFERROR(IF(AND(C234&lt;&gt;"",ISNUMBER(E234),ISNUMBER(F234),F234&gt;0,ISNUMBER(G234)),E234/F234*G234,""),"")</f>
        <v>583.52475071225069</v>
      </c>
      <c r="I234" s="77"/>
      <c r="J234" s="77"/>
    </row>
    <row r="235" spans="2:11" ht="16.5" customHeight="1">
      <c r="B235" s="71">
        <v>15</v>
      </c>
      <c r="C235" s="68"/>
      <c r="D235" s="72" t="s">
        <v>295</v>
      </c>
      <c r="E235" s="69"/>
      <c r="F235" s="70"/>
      <c r="G235" s="73" t="str">
        <f>IFERROR(VLOOKUP(C235,'🧪 프렙 원가표'!$C$8:$D$18,2,0),IFERROR(VLOOKUP(C235,'🥬 식재료 DB'!$C$7:$H$121,6,0),""))</f>
        <v/>
      </c>
      <c r="H235" s="74" t="str">
        <f>IFERROR(IF(AND(C235&lt;&gt;"",ISNUMBER(E235),ISNUMBER(F235),F235&gt;0,ISNUMBER(G235)),E235/F235*G235,""),"")</f>
        <v/>
      </c>
      <c r="I235" s="63"/>
      <c r="J235" s="63"/>
    </row>
    <row r="236" spans="2:11" ht="16.5" customHeight="1">
      <c r="B236" s="71">
        <v>16</v>
      </c>
      <c r="C236" s="68"/>
      <c r="D236" s="72" t="s">
        <v>295</v>
      </c>
      <c r="E236" s="69"/>
      <c r="F236" s="70"/>
      <c r="G236" s="73" t="str">
        <f>IFERROR(VLOOKUP(C236,'🧪 프렙 원가표'!$C$8:$D$18,2,0),IFERROR(VLOOKUP(C236,'🥬 식재료 DB'!$C$7:$H$121,6,0),""))</f>
        <v/>
      </c>
      <c r="H236" s="74" t="str">
        <f>IFERROR(IF(AND(C236&lt;&gt;"",ISNUMBER(E236),ISNUMBER(F236),F236&gt;0,ISNUMBER(G236)),E236/F236*G236,""),"")</f>
        <v/>
      </c>
      <c r="I236" s="77"/>
      <c r="J236" s="77"/>
    </row>
    <row r="237" spans="2:11" ht="16.5" customHeight="1">
      <c r="B237" s="71">
        <v>17</v>
      </c>
      <c r="C237" s="68"/>
      <c r="D237" s="72" t="s">
        <v>295</v>
      </c>
      <c r="E237" s="69"/>
      <c r="F237" s="70"/>
      <c r="G237" s="73" t="str">
        <f>IFERROR(VLOOKUP(C237,'🧪 프렙 원가표'!$C$8:$D$18,2,0),IFERROR(VLOOKUP(C237,'🥬 식재료 DB'!$C$7:$H$121,6,0),""))</f>
        <v/>
      </c>
      <c r="H237" s="74" t="str">
        <f>IFERROR(IF(AND(C237&lt;&gt;"",ISNUMBER(E237),ISNUMBER(F237),F237&gt;0,ISNUMBER(G237)),E237/F237*G237,""),"")</f>
        <v/>
      </c>
      <c r="I237" s="63"/>
      <c r="J237" s="63"/>
    </row>
    <row r="238" spans="2:11" ht="3.75" customHeight="1">
      <c r="B238" s="78"/>
      <c r="C238" s="78"/>
      <c r="D238" s="78"/>
      <c r="E238" s="78"/>
      <c r="F238" s="78"/>
      <c r="G238" s="78"/>
      <c r="H238" s="78"/>
      <c r="I238" s="78"/>
      <c r="J238" s="78"/>
      <c r="K238" s="78"/>
    </row>
    <row r="239" spans="2:11" ht="27" customHeight="1">
      <c r="B239" s="50"/>
      <c r="C239" s="51" t="s">
        <v>354</v>
      </c>
      <c r="D239" s="50"/>
      <c r="E239" s="52">
        <v>13500</v>
      </c>
      <c r="F239" s="53">
        <f>IFERROR(SUM(H241,H242,H243,H244,H245,H246,H247,H248,H249,H250,H251,H252,H254,H255,H256,H257,H258),0)</f>
        <v>827.27475071225069</v>
      </c>
      <c r="G239" s="54">
        <f>IFERROR(E239*'💰 고정비용 DB'!$D$22/'💰 고정비용 DB'!$D$25,0)</f>
        <v>8914.0103907311004</v>
      </c>
      <c r="H239" s="55">
        <f>IFERROR(G239-F239,"")</f>
        <v>8086.7356400188501</v>
      </c>
      <c r="I239" s="56">
        <f>IFERROR(H239/E239,"")</f>
        <v>0.59901745481621116</v>
      </c>
      <c r="J239" s="57" t="str">
        <f>IF(I239="","⬜ 미입력",IF(I239&lt;=0.2,"✅ 양호",IF(I239&lt;=0.32,"🟡 주의","🔴 과다")))</f>
        <v>🔴 과다</v>
      </c>
      <c r="K239" s="50"/>
    </row>
    <row r="240" spans="2:11" ht="12.75" customHeight="1">
      <c r="B240" s="204" t="s">
        <v>291</v>
      </c>
      <c r="C240" s="204"/>
      <c r="D240" s="204"/>
      <c r="E240" s="204"/>
      <c r="F240" s="204"/>
      <c r="G240" s="204"/>
      <c r="H240" s="204"/>
      <c r="I240" s="204"/>
      <c r="J240" s="204"/>
      <c r="K240" s="204"/>
    </row>
    <row r="241" spans="2:11" ht="16.5" customHeight="1">
      <c r="B241" s="58">
        <v>1</v>
      </c>
      <c r="C241" s="6" t="s">
        <v>150</v>
      </c>
      <c r="D241" s="59" t="s">
        <v>292</v>
      </c>
      <c r="E241" s="60">
        <v>50</v>
      </c>
      <c r="F241" s="61">
        <v>1</v>
      </c>
      <c r="G241" s="25">
        <f>IFERROR(VLOOKUP(C241,'🥬 식재료 DB'!$C$7:$H$121,6,0),"")</f>
        <v>2.625</v>
      </c>
      <c r="H241" s="62">
        <f t="shared" ref="H241:H252" si="11">IFERROR(IF(AND(C241&lt;&gt;"",ISNUMBER(E241),ISNUMBER(F241),F241&gt;0,ISNUMBER(G241)),E241/F241*G241,""),"")</f>
        <v>131.25</v>
      </c>
      <c r="I241" s="63"/>
      <c r="J241" s="63"/>
    </row>
    <row r="242" spans="2:11" ht="16.5" customHeight="1">
      <c r="B242" s="58">
        <v>2</v>
      </c>
      <c r="C242" s="95" t="s">
        <v>227</v>
      </c>
      <c r="D242" s="59" t="s">
        <v>292</v>
      </c>
      <c r="E242" s="96">
        <v>10</v>
      </c>
      <c r="F242" s="97">
        <v>1</v>
      </c>
      <c r="G242" s="25">
        <f>IFERROR(VLOOKUP(C242,'🥬 식재료 DB'!$C$7:$H$121,6,0),"")</f>
        <v>6</v>
      </c>
      <c r="H242" s="62">
        <f t="shared" si="11"/>
        <v>60</v>
      </c>
      <c r="I242" s="98"/>
      <c r="J242" s="98"/>
    </row>
    <row r="243" spans="2:11" ht="16.5" customHeight="1">
      <c r="B243" s="58">
        <v>3</v>
      </c>
      <c r="C243" s="6" t="s">
        <v>215</v>
      </c>
      <c r="D243" s="59" t="s">
        <v>292</v>
      </c>
      <c r="E243" s="60">
        <v>10</v>
      </c>
      <c r="F243" s="61">
        <v>1</v>
      </c>
      <c r="G243" s="25">
        <f>IFERROR(VLOOKUP(C243,'🥬 식재료 DB'!$C$7:$H$121,6,0),"")</f>
        <v>4.25</v>
      </c>
      <c r="H243" s="62">
        <f t="shared" si="11"/>
        <v>42.5</v>
      </c>
      <c r="I243" s="63"/>
      <c r="J243" s="63"/>
    </row>
    <row r="244" spans="2:11" ht="16.5" customHeight="1">
      <c r="B244" s="58">
        <v>4</v>
      </c>
      <c r="C244" s="95" t="s">
        <v>168</v>
      </c>
      <c r="D244" s="59" t="s">
        <v>292</v>
      </c>
      <c r="E244" s="96">
        <v>10</v>
      </c>
      <c r="F244" s="97">
        <v>1</v>
      </c>
      <c r="G244" s="25">
        <f>IFERROR(VLOOKUP(C244,'🥬 식재료 DB'!$C$7:$H$121,6,0),"")</f>
        <v>1</v>
      </c>
      <c r="H244" s="62">
        <f t="shared" si="11"/>
        <v>10</v>
      </c>
      <c r="I244" s="98"/>
      <c r="J244" s="98"/>
    </row>
    <row r="245" spans="2:11" ht="16.5" customHeight="1">
      <c r="B245" s="58">
        <v>5</v>
      </c>
      <c r="C245" s="68"/>
      <c r="D245" s="59" t="s">
        <v>292</v>
      </c>
      <c r="E245" s="69"/>
      <c r="F245" s="70"/>
      <c r="G245" s="25" t="str">
        <f>IFERROR(VLOOKUP(C245,'🥬 식재료 DB'!$C$7:$H$121,6,0),"")</f>
        <v/>
      </c>
      <c r="H245" s="62" t="str">
        <f t="shared" si="11"/>
        <v/>
      </c>
      <c r="I245" s="63"/>
      <c r="J245" s="63"/>
    </row>
    <row r="246" spans="2:11" ht="16.5" customHeight="1">
      <c r="B246" s="58">
        <v>6</v>
      </c>
      <c r="C246" s="68"/>
      <c r="D246" s="59" t="s">
        <v>292</v>
      </c>
      <c r="E246" s="69"/>
      <c r="F246" s="70"/>
      <c r="G246" s="25" t="str">
        <f>IFERROR(VLOOKUP(C246,'🥬 식재료 DB'!$C$7:$H$121,6,0),"")</f>
        <v/>
      </c>
      <c r="H246" s="62" t="str">
        <f t="shared" si="11"/>
        <v/>
      </c>
      <c r="I246" s="98"/>
      <c r="J246" s="98"/>
    </row>
    <row r="247" spans="2:11" ht="16.5" customHeight="1">
      <c r="B247" s="58">
        <v>7</v>
      </c>
      <c r="C247" s="68"/>
      <c r="D247" s="59" t="s">
        <v>292</v>
      </c>
      <c r="E247" s="69"/>
      <c r="F247" s="70"/>
      <c r="G247" s="25" t="str">
        <f>IFERROR(VLOOKUP(C247,'🥬 식재료 DB'!$C$7:$H$121,6,0),"")</f>
        <v/>
      </c>
      <c r="H247" s="62" t="str">
        <f t="shared" si="11"/>
        <v/>
      </c>
      <c r="I247" s="63"/>
      <c r="J247" s="63"/>
    </row>
    <row r="248" spans="2:11" ht="16.5" customHeight="1">
      <c r="B248" s="58">
        <v>8</v>
      </c>
      <c r="C248" s="68"/>
      <c r="D248" s="59" t="s">
        <v>292</v>
      </c>
      <c r="E248" s="69"/>
      <c r="F248" s="70"/>
      <c r="G248" s="25" t="str">
        <f>IFERROR(VLOOKUP(C248,'🥬 식재료 DB'!$C$7:$H$121,6,0),"")</f>
        <v/>
      </c>
      <c r="H248" s="62" t="str">
        <f t="shared" si="11"/>
        <v/>
      </c>
      <c r="I248" s="98"/>
      <c r="J248" s="98"/>
    </row>
    <row r="249" spans="2:11" ht="16.5" customHeight="1">
      <c r="B249" s="58">
        <v>9</v>
      </c>
      <c r="C249" s="68"/>
      <c r="D249" s="59" t="s">
        <v>292</v>
      </c>
      <c r="E249" s="69"/>
      <c r="F249" s="70"/>
      <c r="G249" s="25" t="str">
        <f>IFERROR(VLOOKUP(C249,'🥬 식재료 DB'!$C$7:$H$121,6,0),"")</f>
        <v/>
      </c>
      <c r="H249" s="62" t="str">
        <f t="shared" si="11"/>
        <v/>
      </c>
      <c r="I249" s="63"/>
      <c r="J249" s="63"/>
    </row>
    <row r="250" spans="2:11" ht="16.5" customHeight="1">
      <c r="B250" s="58">
        <v>10</v>
      </c>
      <c r="C250" s="68"/>
      <c r="D250" s="59" t="s">
        <v>292</v>
      </c>
      <c r="E250" s="69"/>
      <c r="F250" s="70"/>
      <c r="G250" s="25" t="str">
        <f>IFERROR(VLOOKUP(C250,'🥬 식재료 DB'!$C$7:$H$121,6,0),"")</f>
        <v/>
      </c>
      <c r="H250" s="62" t="str">
        <f t="shared" si="11"/>
        <v/>
      </c>
      <c r="I250" s="98"/>
      <c r="J250" s="98"/>
    </row>
    <row r="251" spans="2:11" ht="16.5" customHeight="1">
      <c r="B251" s="58">
        <v>11</v>
      </c>
      <c r="C251" s="68"/>
      <c r="D251" s="59" t="s">
        <v>292</v>
      </c>
      <c r="E251" s="69"/>
      <c r="F251" s="70"/>
      <c r="G251" s="25" t="str">
        <f>IFERROR(VLOOKUP(C251,'🥬 식재료 DB'!$C$7:$H$121,6,0),"")</f>
        <v/>
      </c>
      <c r="H251" s="62" t="str">
        <f t="shared" si="11"/>
        <v/>
      </c>
      <c r="I251" s="63"/>
      <c r="J251" s="63"/>
    </row>
    <row r="252" spans="2:11" ht="16.5" customHeight="1">
      <c r="B252" s="58">
        <v>12</v>
      </c>
      <c r="C252" s="68"/>
      <c r="D252" s="59" t="s">
        <v>292</v>
      </c>
      <c r="E252" s="69"/>
      <c r="F252" s="70"/>
      <c r="G252" s="25" t="str">
        <f>IFERROR(VLOOKUP(C252,'🥬 식재료 DB'!$C$7:$H$121,6,0),"")</f>
        <v/>
      </c>
      <c r="H252" s="62" t="str">
        <f t="shared" si="11"/>
        <v/>
      </c>
      <c r="I252" s="98"/>
      <c r="J252" s="98"/>
    </row>
    <row r="253" spans="2:11" ht="12.75" customHeight="1">
      <c r="B253" s="203" t="s">
        <v>293</v>
      </c>
      <c r="C253" s="203"/>
      <c r="D253" s="203"/>
      <c r="E253" s="203"/>
      <c r="F253" s="203"/>
      <c r="G253" s="203"/>
      <c r="H253" s="203"/>
      <c r="I253" s="203"/>
      <c r="J253" s="203"/>
      <c r="K253" s="203"/>
    </row>
    <row r="254" spans="2:11" ht="16.5" customHeight="1">
      <c r="B254" s="71">
        <v>13</v>
      </c>
      <c r="C254" s="6" t="s">
        <v>353</v>
      </c>
      <c r="D254" s="72" t="s">
        <v>295</v>
      </c>
      <c r="E254" s="60">
        <v>80</v>
      </c>
      <c r="F254" s="61">
        <v>1</v>
      </c>
      <c r="G254" s="73" t="str">
        <f>IFERROR(VLOOKUP(C254,'🧪 프렙 원가표'!$C$8:$D$18,2,0),IFERROR(VLOOKUP(C254,'🥬 식재료 DB'!$C$7:$H$121,6,0),""))</f>
        <v/>
      </c>
      <c r="H254" s="74" t="str">
        <f>IFERROR(IF(AND(C254&lt;&gt;"",ISNUMBER(E254),ISNUMBER(F254),F254&gt;0,ISNUMBER(G254)),E254/F254*G254,""),"")</f>
        <v/>
      </c>
      <c r="I254" s="63"/>
      <c r="J254" s="63"/>
    </row>
    <row r="255" spans="2:11" ht="16.5" customHeight="1">
      <c r="B255" s="71">
        <v>14</v>
      </c>
      <c r="C255" s="12" t="s">
        <v>294</v>
      </c>
      <c r="D255" s="72" t="s">
        <v>295</v>
      </c>
      <c r="E255" s="75">
        <v>200</v>
      </c>
      <c r="F255" s="76">
        <v>1</v>
      </c>
      <c r="G255" s="73">
        <f>IFERROR(VLOOKUP(C255,'🧪 프렙 원가표'!$C$8:$D$18,2,0),IFERROR(VLOOKUP(C255,'🥬 식재료 DB'!$C$7:$H$121,6,0),""))</f>
        <v>2.9176237535612533</v>
      </c>
      <c r="H255" s="74">
        <f>IFERROR(IF(AND(C255&lt;&gt;"",ISNUMBER(E255),ISNUMBER(F255),F255&gt;0,ISNUMBER(G255)),E255/F255*G255,""),"")</f>
        <v>583.52475071225069</v>
      </c>
      <c r="I255" s="77"/>
      <c r="J255" s="77"/>
    </row>
    <row r="256" spans="2:11" ht="16.5" customHeight="1">
      <c r="B256" s="71">
        <v>15</v>
      </c>
      <c r="C256" s="68"/>
      <c r="D256" s="72" t="s">
        <v>295</v>
      </c>
      <c r="E256" s="69"/>
      <c r="F256" s="70"/>
      <c r="G256" s="73" t="str">
        <f>IFERROR(VLOOKUP(C256,'🧪 프렙 원가표'!$C$8:$D$18,2,0),IFERROR(VLOOKUP(C256,'🥬 식재료 DB'!$C$7:$H$121,6,0),""))</f>
        <v/>
      </c>
      <c r="H256" s="74" t="str">
        <f>IFERROR(IF(AND(C256&lt;&gt;"",ISNUMBER(E256),ISNUMBER(F256),F256&gt;0,ISNUMBER(G256)),E256/F256*G256,""),"")</f>
        <v/>
      </c>
      <c r="I256" s="63"/>
      <c r="J256" s="63"/>
    </row>
    <row r="257" spans="2:11" ht="16.5" customHeight="1">
      <c r="B257" s="71">
        <v>16</v>
      </c>
      <c r="C257" s="68"/>
      <c r="D257" s="72" t="s">
        <v>295</v>
      </c>
      <c r="E257" s="69"/>
      <c r="F257" s="70"/>
      <c r="G257" s="73" t="str">
        <f>IFERROR(VLOOKUP(C257,'🧪 프렙 원가표'!$C$8:$D$18,2,0),IFERROR(VLOOKUP(C257,'🥬 식재료 DB'!$C$7:$H$121,6,0),""))</f>
        <v/>
      </c>
      <c r="H257" s="74" t="str">
        <f>IFERROR(IF(AND(C257&lt;&gt;"",ISNUMBER(E257),ISNUMBER(F257),F257&gt;0,ISNUMBER(G257)),E257/F257*G257,""),"")</f>
        <v/>
      </c>
      <c r="I257" s="77"/>
      <c r="J257" s="77"/>
    </row>
    <row r="258" spans="2:11" ht="16.5" customHeight="1">
      <c r="B258" s="71">
        <v>17</v>
      </c>
      <c r="C258" s="68"/>
      <c r="D258" s="72" t="s">
        <v>295</v>
      </c>
      <c r="E258" s="69"/>
      <c r="F258" s="70"/>
      <c r="G258" s="73" t="str">
        <f>IFERROR(VLOOKUP(C258,'🧪 프렙 원가표'!$C$8:$D$18,2,0),IFERROR(VLOOKUP(C258,'🥬 식재료 DB'!$C$7:$H$121,6,0),""))</f>
        <v/>
      </c>
      <c r="H258" s="74" t="str">
        <f>IFERROR(IF(AND(C258&lt;&gt;"",ISNUMBER(E258),ISNUMBER(F258),F258&gt;0,ISNUMBER(G258)),E258/F258*G258,""),"")</f>
        <v/>
      </c>
      <c r="I258" s="63"/>
      <c r="J258" s="63"/>
    </row>
    <row r="259" spans="2:11" ht="3.75" customHeight="1">
      <c r="B259" s="78"/>
      <c r="C259" s="78"/>
      <c r="D259" s="78"/>
      <c r="E259" s="78"/>
      <c r="F259" s="78"/>
      <c r="G259" s="78"/>
      <c r="H259" s="78"/>
      <c r="I259" s="78"/>
      <c r="J259" s="78"/>
      <c r="K259" s="78"/>
    </row>
    <row r="260" spans="2:11" ht="27" customHeight="1">
      <c r="B260" s="50"/>
      <c r="C260" s="51" t="s">
        <v>355</v>
      </c>
      <c r="D260" s="50"/>
      <c r="E260" s="52">
        <v>15000</v>
      </c>
      <c r="F260" s="53">
        <f>IFERROR(SUM(H262,H263,H264,H265,H266,H267,H268,H269,H270,H271,H272,H273,H275,H276,H277,H278,H279),0)</f>
        <v>887.03857460049414</v>
      </c>
      <c r="G260" s="54">
        <f>IFERROR(E260*'💰 고정비용 DB'!$D$22/'💰 고정비용 DB'!$D$25,0)</f>
        <v>9904.4559897012223</v>
      </c>
      <c r="H260" s="55">
        <f>IFERROR(G260-F260,"")</f>
        <v>9017.4174151007282</v>
      </c>
      <c r="I260" s="56">
        <f>IFERROR(H260/E260,"")</f>
        <v>0.60116116100671524</v>
      </c>
      <c r="J260" s="57" t="str">
        <f>IF(I260="","⬜ 미입력",IF(I260&lt;=0.2,"✅ 양호",IF(I260&lt;=0.32,"🟡 주의","🔴 과다")))</f>
        <v>🔴 과다</v>
      </c>
      <c r="K260" s="50"/>
    </row>
    <row r="261" spans="2:11" ht="12.75" customHeight="1">
      <c r="B261" s="204" t="s">
        <v>291</v>
      </c>
      <c r="C261" s="204"/>
      <c r="D261" s="204"/>
      <c r="E261" s="204"/>
      <c r="F261" s="204"/>
      <c r="G261" s="204"/>
      <c r="H261" s="204"/>
      <c r="I261" s="204"/>
      <c r="J261" s="204"/>
      <c r="K261" s="204"/>
    </row>
    <row r="262" spans="2:11" ht="16.5" customHeight="1">
      <c r="B262" s="58">
        <v>1</v>
      </c>
      <c r="C262" s="17" t="s">
        <v>188</v>
      </c>
      <c r="D262" s="59" t="s">
        <v>292</v>
      </c>
      <c r="E262" s="60">
        <v>100</v>
      </c>
      <c r="F262" s="61">
        <v>1</v>
      </c>
      <c r="G262" s="25">
        <f>IFERROR(VLOOKUP(C262,'🥬 식재료 DB'!$C$7:$H$121,6,0),"")</f>
        <v>3.2</v>
      </c>
      <c r="H262" s="62">
        <f t="shared" ref="H262:H273" si="12">IFERROR(IF(AND(C262&lt;&gt;"",ISNUMBER(E262),ISNUMBER(F262),F262&gt;0,ISNUMBER(G262)),E262/F262*G262,""),"")</f>
        <v>320</v>
      </c>
      <c r="I262" s="63"/>
      <c r="J262" s="63"/>
    </row>
    <row r="263" spans="2:11" ht="16.5" customHeight="1">
      <c r="B263" s="58">
        <v>2</v>
      </c>
      <c r="C263" s="95" t="s">
        <v>215</v>
      </c>
      <c r="D263" s="59" t="s">
        <v>292</v>
      </c>
      <c r="E263" s="96">
        <v>30</v>
      </c>
      <c r="F263" s="97">
        <v>1</v>
      </c>
      <c r="G263" s="25">
        <f>IFERROR(VLOOKUP(C263,'🥬 식재료 DB'!$C$7:$H$121,6,0),"")</f>
        <v>4.25</v>
      </c>
      <c r="H263" s="62">
        <f t="shared" si="12"/>
        <v>127.5</v>
      </c>
      <c r="I263" s="98"/>
      <c r="J263" s="98"/>
    </row>
    <row r="264" spans="2:11" ht="16.5" customHeight="1">
      <c r="B264" s="58">
        <v>3</v>
      </c>
      <c r="C264" s="68"/>
      <c r="D264" s="59" t="s">
        <v>292</v>
      </c>
      <c r="E264" s="69"/>
      <c r="F264" s="70"/>
      <c r="G264" s="25" t="str">
        <f>IFERROR(VLOOKUP(C264,'🥬 식재료 DB'!$C$7:$H$121,6,0),"")</f>
        <v/>
      </c>
      <c r="H264" s="62" t="str">
        <f t="shared" si="12"/>
        <v/>
      </c>
      <c r="I264" s="63"/>
      <c r="J264" s="63"/>
    </row>
    <row r="265" spans="2:11" ht="16.5" customHeight="1">
      <c r="B265" s="58">
        <v>4</v>
      </c>
      <c r="C265" s="68"/>
      <c r="D265" s="59" t="s">
        <v>292</v>
      </c>
      <c r="E265" s="69"/>
      <c r="F265" s="70"/>
      <c r="G265" s="25" t="str">
        <f>IFERROR(VLOOKUP(C265,'🥬 식재료 DB'!$C$7:$H$121,6,0),"")</f>
        <v/>
      </c>
      <c r="H265" s="62" t="str">
        <f t="shared" si="12"/>
        <v/>
      </c>
      <c r="I265" s="98"/>
      <c r="J265" s="98"/>
    </row>
    <row r="266" spans="2:11" ht="16.5" customHeight="1">
      <c r="B266" s="58">
        <v>5</v>
      </c>
      <c r="C266" s="68"/>
      <c r="D266" s="59" t="s">
        <v>292</v>
      </c>
      <c r="E266" s="69"/>
      <c r="F266" s="70"/>
      <c r="G266" s="25" t="str">
        <f>IFERROR(VLOOKUP(C266,'🥬 식재료 DB'!$C$7:$H$121,6,0),"")</f>
        <v/>
      </c>
      <c r="H266" s="62" t="str">
        <f t="shared" si="12"/>
        <v/>
      </c>
      <c r="I266" s="63"/>
      <c r="J266" s="63"/>
    </row>
    <row r="267" spans="2:11" ht="16.5" customHeight="1">
      <c r="B267" s="58">
        <v>6</v>
      </c>
      <c r="C267" s="68"/>
      <c r="D267" s="59" t="s">
        <v>292</v>
      </c>
      <c r="E267" s="69"/>
      <c r="F267" s="70"/>
      <c r="G267" s="25" t="str">
        <f>IFERROR(VLOOKUP(C267,'🥬 식재료 DB'!$C$7:$H$121,6,0),"")</f>
        <v/>
      </c>
      <c r="H267" s="62" t="str">
        <f t="shared" si="12"/>
        <v/>
      </c>
      <c r="I267" s="98"/>
      <c r="J267" s="98"/>
    </row>
    <row r="268" spans="2:11" ht="16.5" customHeight="1">
      <c r="B268" s="58">
        <v>7</v>
      </c>
      <c r="C268" s="68"/>
      <c r="D268" s="59" t="s">
        <v>292</v>
      </c>
      <c r="E268" s="69"/>
      <c r="F268" s="70"/>
      <c r="G268" s="25" t="str">
        <f>IFERROR(VLOOKUP(C268,'🥬 식재료 DB'!$C$7:$H$121,6,0),"")</f>
        <v/>
      </c>
      <c r="H268" s="62" t="str">
        <f t="shared" si="12"/>
        <v/>
      </c>
      <c r="I268" s="63"/>
      <c r="J268" s="63"/>
    </row>
    <row r="269" spans="2:11" ht="16.5" customHeight="1">
      <c r="B269" s="58">
        <v>8</v>
      </c>
      <c r="C269" s="68"/>
      <c r="D269" s="59" t="s">
        <v>292</v>
      </c>
      <c r="E269" s="69"/>
      <c r="F269" s="70"/>
      <c r="G269" s="25" t="str">
        <f>IFERROR(VLOOKUP(C269,'🥬 식재료 DB'!$C$7:$H$121,6,0),"")</f>
        <v/>
      </c>
      <c r="H269" s="62" t="str">
        <f t="shared" si="12"/>
        <v/>
      </c>
      <c r="I269" s="98"/>
      <c r="J269" s="98"/>
    </row>
    <row r="270" spans="2:11" ht="16.5" customHeight="1">
      <c r="B270" s="58">
        <v>9</v>
      </c>
      <c r="C270" s="68"/>
      <c r="D270" s="59" t="s">
        <v>292</v>
      </c>
      <c r="E270" s="69"/>
      <c r="F270" s="70"/>
      <c r="G270" s="25" t="str">
        <f>IFERROR(VLOOKUP(C270,'🥬 식재료 DB'!$C$7:$H$121,6,0),"")</f>
        <v/>
      </c>
      <c r="H270" s="62" t="str">
        <f t="shared" si="12"/>
        <v/>
      </c>
      <c r="I270" s="63"/>
      <c r="J270" s="63"/>
    </row>
    <row r="271" spans="2:11" ht="16.5" customHeight="1">
      <c r="B271" s="58">
        <v>10</v>
      </c>
      <c r="C271" s="68"/>
      <c r="D271" s="59" t="s">
        <v>292</v>
      </c>
      <c r="E271" s="69"/>
      <c r="F271" s="70"/>
      <c r="G271" s="25" t="str">
        <f>IFERROR(VLOOKUP(C271,'🥬 식재료 DB'!$C$7:$H$121,6,0),"")</f>
        <v/>
      </c>
      <c r="H271" s="62" t="str">
        <f t="shared" si="12"/>
        <v/>
      </c>
      <c r="I271" s="98"/>
      <c r="J271" s="98"/>
    </row>
    <row r="272" spans="2:11" ht="16.5" customHeight="1">
      <c r="B272" s="58">
        <v>11</v>
      </c>
      <c r="C272" s="68"/>
      <c r="D272" s="59" t="s">
        <v>292</v>
      </c>
      <c r="E272" s="69"/>
      <c r="F272" s="70"/>
      <c r="G272" s="25" t="str">
        <f>IFERROR(VLOOKUP(C272,'🥬 식재료 DB'!$C$7:$H$121,6,0),"")</f>
        <v/>
      </c>
      <c r="H272" s="62" t="str">
        <f t="shared" si="12"/>
        <v/>
      </c>
      <c r="I272" s="63"/>
      <c r="J272" s="63"/>
    </row>
    <row r="273" spans="2:11" ht="16.5" customHeight="1">
      <c r="B273" s="58">
        <v>12</v>
      </c>
      <c r="C273" s="68"/>
      <c r="D273" s="59" t="s">
        <v>292</v>
      </c>
      <c r="E273" s="69"/>
      <c r="F273" s="70"/>
      <c r="G273" s="25" t="str">
        <f>IFERROR(VLOOKUP(C273,'🥬 식재료 DB'!$C$7:$H$121,6,0),"")</f>
        <v/>
      </c>
      <c r="H273" s="62" t="str">
        <f t="shared" si="12"/>
        <v/>
      </c>
      <c r="I273" s="98"/>
      <c r="J273" s="98"/>
    </row>
    <row r="274" spans="2:11" ht="12.75" customHeight="1">
      <c r="B274" s="203" t="s">
        <v>293</v>
      </c>
      <c r="C274" s="203"/>
      <c r="D274" s="203"/>
      <c r="E274" s="203"/>
      <c r="F274" s="203"/>
      <c r="G274" s="203"/>
      <c r="H274" s="203"/>
      <c r="I274" s="203"/>
      <c r="J274" s="203"/>
      <c r="K274" s="203"/>
    </row>
    <row r="275" spans="2:11" ht="16.5" customHeight="1">
      <c r="B275" s="71">
        <v>13</v>
      </c>
      <c r="C275" s="6" t="s">
        <v>307</v>
      </c>
      <c r="D275" s="72" t="s">
        <v>295</v>
      </c>
      <c r="E275" s="60">
        <v>250</v>
      </c>
      <c r="F275" s="61">
        <v>1</v>
      </c>
      <c r="G275" s="73">
        <f>IFERROR(VLOOKUP(C275,'🧪 프렙 원가표'!$C$8:$D$18,2,0),IFERROR(VLOOKUP(C275,'🥬 식재료 DB'!$C$7:$H$121,6,0),""))</f>
        <v>1.7581542984019767</v>
      </c>
      <c r="H275" s="74">
        <f>IFERROR(IF(AND(C275&lt;&gt;"",ISNUMBER(E275),ISNUMBER(F275),F275&gt;0,ISNUMBER(G275)),E275/F275*G275,""),"")</f>
        <v>439.53857460049414</v>
      </c>
      <c r="I275" s="63"/>
      <c r="J275" s="63"/>
    </row>
    <row r="276" spans="2:11" ht="16.5" customHeight="1">
      <c r="B276" s="71">
        <v>14</v>
      </c>
      <c r="C276" s="68"/>
      <c r="D276" s="72" t="s">
        <v>295</v>
      </c>
      <c r="E276" s="69"/>
      <c r="F276" s="70"/>
      <c r="G276" s="73" t="str">
        <f>IFERROR(VLOOKUP(C276,'🧪 프렙 원가표'!$C$8:$D$18,2,0),IFERROR(VLOOKUP(C276,'🥬 식재료 DB'!$C$7:$H$121,6,0),""))</f>
        <v/>
      </c>
      <c r="H276" s="74" t="str">
        <f>IFERROR(IF(AND(C276&lt;&gt;"",ISNUMBER(E276),ISNUMBER(F276),F276&gt;0,ISNUMBER(G276)),E276/F276*G276,""),"")</f>
        <v/>
      </c>
      <c r="I276" s="77"/>
      <c r="J276" s="77"/>
    </row>
    <row r="277" spans="2:11" ht="16.5" customHeight="1">
      <c r="B277" s="71">
        <v>15</v>
      </c>
      <c r="C277" s="68"/>
      <c r="D277" s="72" t="s">
        <v>295</v>
      </c>
      <c r="E277" s="69"/>
      <c r="F277" s="70"/>
      <c r="G277" s="73" t="str">
        <f>IFERROR(VLOOKUP(C277,'🧪 프렙 원가표'!$C$8:$D$18,2,0),IFERROR(VLOOKUP(C277,'🥬 식재료 DB'!$C$7:$H$121,6,0),""))</f>
        <v/>
      </c>
      <c r="H277" s="74" t="str">
        <f>IFERROR(IF(AND(C277&lt;&gt;"",ISNUMBER(E277),ISNUMBER(F277),F277&gt;0,ISNUMBER(G277)),E277/F277*G277,""),"")</f>
        <v/>
      </c>
      <c r="I277" s="63"/>
      <c r="J277" s="63"/>
    </row>
    <row r="278" spans="2:11" ht="16.5" customHeight="1">
      <c r="B278" s="71">
        <v>16</v>
      </c>
      <c r="C278" s="68"/>
      <c r="D278" s="72" t="s">
        <v>295</v>
      </c>
      <c r="E278" s="69"/>
      <c r="F278" s="70"/>
      <c r="G278" s="73" t="str">
        <f>IFERROR(VLOOKUP(C278,'🧪 프렙 원가표'!$C$8:$D$18,2,0),IFERROR(VLOOKUP(C278,'🥬 식재료 DB'!$C$7:$H$121,6,0),""))</f>
        <v/>
      </c>
      <c r="H278" s="74" t="str">
        <f>IFERROR(IF(AND(C278&lt;&gt;"",ISNUMBER(E278),ISNUMBER(F278),F278&gt;0,ISNUMBER(G278)),E278/F278*G278,""),"")</f>
        <v/>
      </c>
      <c r="I278" s="77"/>
      <c r="J278" s="77"/>
    </row>
    <row r="279" spans="2:11" ht="16.5" customHeight="1">
      <c r="B279" s="71">
        <v>17</v>
      </c>
      <c r="C279" s="68"/>
      <c r="D279" s="72" t="s">
        <v>295</v>
      </c>
      <c r="E279" s="69"/>
      <c r="F279" s="70"/>
      <c r="G279" s="73" t="str">
        <f>IFERROR(VLOOKUP(C279,'🧪 프렙 원가표'!$C$8:$D$18,2,0),IFERROR(VLOOKUP(C279,'🥬 식재료 DB'!$C$7:$H$121,6,0),""))</f>
        <v/>
      </c>
      <c r="H279" s="74" t="str">
        <f>IFERROR(IF(AND(C279&lt;&gt;"",ISNUMBER(E279),ISNUMBER(F279),F279&gt;0,ISNUMBER(G279)),E279/F279*G279,""),"")</f>
        <v/>
      </c>
      <c r="I279" s="63"/>
      <c r="J279" s="63"/>
    </row>
    <row r="280" spans="2:11" ht="3.75" customHeight="1">
      <c r="B280" s="78"/>
      <c r="C280" s="78"/>
      <c r="D280" s="78"/>
      <c r="E280" s="78"/>
      <c r="F280" s="78"/>
      <c r="G280" s="78"/>
      <c r="H280" s="78"/>
      <c r="I280" s="78"/>
      <c r="J280" s="78"/>
      <c r="K280" s="78"/>
    </row>
  </sheetData>
  <mergeCells count="29">
    <mergeCell ref="B2:K2"/>
    <mergeCell ref="B4:K4"/>
    <mergeCell ref="B5:K5"/>
    <mergeCell ref="B9:K9"/>
    <mergeCell ref="B22:K22"/>
    <mergeCell ref="B30:K30"/>
    <mergeCell ref="B43:K43"/>
    <mergeCell ref="B51:K51"/>
    <mergeCell ref="B64:K64"/>
    <mergeCell ref="B72:K72"/>
    <mergeCell ref="B85:K85"/>
    <mergeCell ref="B93:K93"/>
    <mergeCell ref="B106:K106"/>
    <mergeCell ref="B114:K114"/>
    <mergeCell ref="B127:K127"/>
    <mergeCell ref="B135:K135"/>
    <mergeCell ref="B148:K148"/>
    <mergeCell ref="B156:K156"/>
    <mergeCell ref="B169:K169"/>
    <mergeCell ref="B177:K177"/>
    <mergeCell ref="B240:K240"/>
    <mergeCell ref="B253:K253"/>
    <mergeCell ref="B261:K261"/>
    <mergeCell ref="B274:K274"/>
    <mergeCell ref="B190:K190"/>
    <mergeCell ref="B198:K198"/>
    <mergeCell ref="B211:K211"/>
    <mergeCell ref="B219:K219"/>
    <mergeCell ref="B232:K232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K198"/>
  <sheetViews>
    <sheetView showGridLines="0" zoomScaleNormal="100" workbookViewId="0">
      <pane xSplit="2" ySplit="7" topLeftCell="C188" activePane="bottomRight" state="frozen"/>
      <selection pane="topRight" activeCell="C1" sqref="C1"/>
      <selection pane="bottomLeft" activeCell="A8" sqref="A8"/>
      <selection pane="bottomRight" activeCell="H178" sqref="H178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10" t="s">
        <v>356</v>
      </c>
      <c r="C2" s="210"/>
      <c r="D2" s="210"/>
      <c r="E2" s="210"/>
      <c r="F2" s="210"/>
      <c r="G2" s="210"/>
      <c r="H2" s="210"/>
      <c r="I2" s="210"/>
      <c r="J2" s="210"/>
      <c r="K2" s="210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100" t="s">
        <v>6</v>
      </c>
      <c r="C7" s="101" t="s">
        <v>130</v>
      </c>
      <c r="D7" s="101" t="s">
        <v>284</v>
      </c>
      <c r="E7" s="101" t="s">
        <v>285</v>
      </c>
      <c r="F7" s="101" t="s">
        <v>286</v>
      </c>
      <c r="G7" s="100" t="s">
        <v>287</v>
      </c>
      <c r="H7" s="101" t="s">
        <v>288</v>
      </c>
      <c r="I7" s="101" t="s">
        <v>289</v>
      </c>
    </row>
    <row r="8" spans="2:11" ht="27" customHeight="1">
      <c r="B8" s="50"/>
      <c r="C8" s="51" t="s">
        <v>357</v>
      </c>
      <c r="D8" s="50"/>
      <c r="E8" s="52">
        <v>12000</v>
      </c>
      <c r="F8" s="53">
        <f>IFERROR(SUM(H10,H11,H12,H13,H14,H15,H16,H17,H18,H19,H20,H21,H23,H24,H25,H26,H27),0)</f>
        <v>594.34210526315792</v>
      </c>
      <c r="G8" s="54">
        <f>IFERROR(E8*'💰 고정비용 DB'!$D$22/'💰 고정비용 DB'!$D$25,0)</f>
        <v>7923.5647917609776</v>
      </c>
      <c r="H8" s="55">
        <f>IFERROR(G8-F8,"")</f>
        <v>7329.2226864978202</v>
      </c>
      <c r="I8" s="56">
        <f>IFERROR(H8/E8,"")</f>
        <v>0.61076855720815171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316</v>
      </c>
      <c r="D10" s="59" t="s">
        <v>292</v>
      </c>
      <c r="E10" s="60">
        <v>250</v>
      </c>
      <c r="F10" s="61">
        <v>1</v>
      </c>
      <c r="G10" s="25" t="str">
        <f>IFERROR(VLOOKUP(C10,'🥬 식재료 DB'!$C$7:$H$121,6,0),"")</f>
        <v/>
      </c>
      <c r="H10" s="62" t="str">
        <f t="shared" ref="H10:H21" si="0">IFERROR(IF(AND(C10&lt;&gt;"",ISNUMBER(E10),ISNUMBER(F10),F10&gt;0,ISNUMBER(G10)),E10/F10*G10,""),"")</f>
        <v/>
      </c>
      <c r="I10" s="63"/>
      <c r="J10" s="63"/>
    </row>
    <row r="11" spans="2:11" ht="16.5" customHeight="1">
      <c r="B11" s="58">
        <v>2</v>
      </c>
      <c r="C11" s="102" t="s">
        <v>215</v>
      </c>
      <c r="D11" s="59" t="s">
        <v>292</v>
      </c>
      <c r="E11" s="103">
        <v>20</v>
      </c>
      <c r="F11" s="104">
        <v>1</v>
      </c>
      <c r="G11" s="25">
        <f>IFERROR(VLOOKUP(C11,'🥬 식재료 DB'!$C$7:$H$121,6,0),"")</f>
        <v>4.25</v>
      </c>
      <c r="H11" s="62">
        <f t="shared" si="0"/>
        <v>85</v>
      </c>
      <c r="I11" s="105"/>
      <c r="J11" s="105"/>
    </row>
    <row r="12" spans="2:11" ht="16.5" customHeight="1">
      <c r="B12" s="58">
        <v>3</v>
      </c>
      <c r="C12" s="6" t="s">
        <v>206</v>
      </c>
      <c r="D12" s="59" t="s">
        <v>292</v>
      </c>
      <c r="E12" s="60">
        <v>30</v>
      </c>
      <c r="F12" s="61">
        <v>1</v>
      </c>
      <c r="G12" s="25">
        <f>IFERROR(VLOOKUP(C12,'🥬 식재료 DB'!$C$7:$H$121,6,0),"")</f>
        <v>12.894736842105264</v>
      </c>
      <c r="H12" s="62">
        <f t="shared" si="0"/>
        <v>386.84210526315792</v>
      </c>
      <c r="I12" s="63"/>
      <c r="J12" s="63"/>
    </row>
    <row r="13" spans="2:11" ht="16.5" customHeight="1">
      <c r="B13" s="58">
        <v>4</v>
      </c>
      <c r="C13" s="102" t="s">
        <v>162</v>
      </c>
      <c r="D13" s="59" t="s">
        <v>292</v>
      </c>
      <c r="E13" s="103">
        <v>5</v>
      </c>
      <c r="F13" s="104">
        <v>1</v>
      </c>
      <c r="G13" s="25">
        <f>IFERROR(VLOOKUP(C13,'🥬 식재료 DB'!$C$7:$H$121,6,0),"")</f>
        <v>22.5</v>
      </c>
      <c r="H13" s="62">
        <f t="shared" si="0"/>
        <v>112.5</v>
      </c>
      <c r="I13" s="105"/>
      <c r="J13" s="105"/>
    </row>
    <row r="14" spans="2:11" ht="16.5" customHeight="1">
      <c r="B14" s="58">
        <v>5</v>
      </c>
      <c r="C14" s="6" t="s">
        <v>168</v>
      </c>
      <c r="D14" s="59" t="s">
        <v>292</v>
      </c>
      <c r="E14" s="60">
        <v>10</v>
      </c>
      <c r="F14" s="61">
        <v>1</v>
      </c>
      <c r="G14" s="25">
        <f>IFERROR(VLOOKUP(C14,'🥬 식재료 DB'!$C$7:$H$121,6,0),"")</f>
        <v>1</v>
      </c>
      <c r="H14" s="62">
        <f t="shared" si="0"/>
        <v>10</v>
      </c>
      <c r="I14" s="63"/>
      <c r="J14" s="63"/>
    </row>
    <row r="15" spans="2:11" ht="16.5" customHeight="1">
      <c r="B15" s="58">
        <v>6</v>
      </c>
      <c r="C15" s="68"/>
      <c r="D15" s="59" t="s">
        <v>292</v>
      </c>
      <c r="E15" s="69"/>
      <c r="F15" s="70"/>
      <c r="G15" s="25" t="str">
        <f>IFERROR(VLOOKUP(C15,'🥬 식재료 DB'!$C$7:$H$121,6,0),"")</f>
        <v/>
      </c>
      <c r="H15" s="62" t="str">
        <f t="shared" si="0"/>
        <v/>
      </c>
      <c r="I15" s="105"/>
      <c r="J15" s="105"/>
    </row>
    <row r="16" spans="2:11" ht="16.5" customHeight="1">
      <c r="B16" s="58">
        <v>7</v>
      </c>
      <c r="C16" s="68"/>
      <c r="D16" s="59" t="s">
        <v>292</v>
      </c>
      <c r="E16" s="69"/>
      <c r="F16" s="70"/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68"/>
      <c r="D17" s="59" t="s">
        <v>292</v>
      </c>
      <c r="E17" s="69"/>
      <c r="F17" s="70"/>
      <c r="G17" s="25" t="str">
        <f>IFERROR(VLOOKUP(C17,'🥬 식재료 DB'!$C$7:$H$121,6,0),"")</f>
        <v/>
      </c>
      <c r="H17" s="62" t="str">
        <f t="shared" si="0"/>
        <v/>
      </c>
      <c r="I17" s="105"/>
      <c r="J17" s="105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105"/>
      <c r="J19" s="105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105"/>
      <c r="J21" s="105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" t="s">
        <v>358</v>
      </c>
      <c r="D23" s="72" t="s">
        <v>295</v>
      </c>
      <c r="E23" s="60">
        <v>30</v>
      </c>
      <c r="F23" s="61">
        <v>1</v>
      </c>
      <c r="G23" s="73" t="str">
        <f>IFERROR(VLOOKUP(C23,'🧪 프렙 원가표'!$C$8:$D$18,2,0),IFERROR(VLOOKUP(C23,'🥬 식재료 DB'!$C$7:$H$121,6,0),""))</f>
        <v/>
      </c>
      <c r="H23" s="74" t="str">
        <f>IFERROR(IF(AND(C23&lt;&gt;"",ISNUMBER(E23),ISNUMBER(F23),F23&gt;0,ISNUMBER(G23)),E23/F23*G23,""),"")</f>
        <v/>
      </c>
      <c r="I23" s="63"/>
      <c r="J23" s="63"/>
    </row>
    <row r="24" spans="2:11" ht="16.5" customHeight="1">
      <c r="B24" s="71">
        <v>14</v>
      </c>
      <c r="C24" s="68"/>
      <c r="D24" s="72" t="s">
        <v>295</v>
      </c>
      <c r="E24" s="69"/>
      <c r="F24" s="70"/>
      <c r="G24" s="73" t="str">
        <f>IFERROR(VLOOKUP(C24,'🧪 프렙 원가표'!$C$8:$D$18,2,0),IFERROR(VLOOKUP(C24,'🥬 식재료 DB'!$C$7:$H$121,6,0),""))</f>
        <v/>
      </c>
      <c r="H24" s="74" t="str">
        <f>IFERROR(IF(AND(C24&lt;&gt;"",ISNUMBER(E24),ISNUMBER(F24),F24&gt;0,ISNUMBER(G24)),E24/F24*G24,""),"")</f>
        <v/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359</v>
      </c>
      <c r="D29" s="50"/>
      <c r="E29" s="52">
        <v>11000</v>
      </c>
      <c r="F29" s="53">
        <f>IFERROR(SUM(H31,H32,H33,H34,H35,H36,H37,H38,H39,H40,H41,H42,H44,H45,H46,H47,H48),0)</f>
        <v>458.16416666666669</v>
      </c>
      <c r="G29" s="54">
        <f>IFERROR(E29*'💰 고정비용 DB'!$D$22/'💰 고정비용 DB'!$D$25,0)</f>
        <v>7263.2677257808964</v>
      </c>
      <c r="H29" s="55">
        <f>IFERROR(G29-F29,"")</f>
        <v>6805.1035591142299</v>
      </c>
      <c r="I29" s="56">
        <f>IFERROR(H29/E29,"")</f>
        <v>0.61864577810129362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316</v>
      </c>
      <c r="D31" s="59" t="s">
        <v>292</v>
      </c>
      <c r="E31" s="60">
        <v>250</v>
      </c>
      <c r="F31" s="61">
        <v>1</v>
      </c>
      <c r="G31" s="25" t="str">
        <f>IFERROR(VLOOKUP(C31,'🥬 식재료 DB'!$C$7:$H$121,6,0),"")</f>
        <v/>
      </c>
      <c r="H31" s="62" t="str">
        <f t="shared" ref="H31:H42" si="1">IFERROR(IF(AND(C31&lt;&gt;"",ISNUMBER(E31),ISNUMBER(F31),F31&gt;0,ISNUMBER(G31)),E31/F31*G31,""),"")</f>
        <v/>
      </c>
      <c r="I31" s="63"/>
      <c r="J31" s="63"/>
    </row>
    <row r="32" spans="2:11" ht="16.5" customHeight="1">
      <c r="B32" s="58">
        <v>2</v>
      </c>
      <c r="C32" s="102" t="s">
        <v>360</v>
      </c>
      <c r="D32" s="59" t="s">
        <v>292</v>
      </c>
      <c r="E32" s="103">
        <v>5</v>
      </c>
      <c r="F32" s="104">
        <v>1</v>
      </c>
      <c r="G32" s="25" t="str">
        <f>IFERROR(VLOOKUP(C32,'🥬 식재료 DB'!$C$7:$H$121,6,0),"")</f>
        <v/>
      </c>
      <c r="H32" s="62" t="str">
        <f t="shared" si="1"/>
        <v/>
      </c>
      <c r="I32" s="105"/>
      <c r="J32" s="105"/>
    </row>
    <row r="33" spans="2:11" ht="16.5" customHeight="1">
      <c r="B33" s="58">
        <v>3</v>
      </c>
      <c r="C33" s="17" t="s">
        <v>174</v>
      </c>
      <c r="D33" s="59" t="s">
        <v>292</v>
      </c>
      <c r="E33" s="60">
        <v>5</v>
      </c>
      <c r="F33" s="61">
        <v>1</v>
      </c>
      <c r="G33" s="25">
        <f>IFERROR(VLOOKUP(C33,'🥬 식재료 DB'!$C$7:$H$121,6,0),"")</f>
        <v>22.5</v>
      </c>
      <c r="H33" s="62">
        <f t="shared" si="1"/>
        <v>112.5</v>
      </c>
      <c r="I33" s="63"/>
      <c r="J33" s="63"/>
    </row>
    <row r="34" spans="2:11" ht="16.5" customHeight="1">
      <c r="B34" s="58">
        <v>4</v>
      </c>
      <c r="C34" s="102" t="s">
        <v>303</v>
      </c>
      <c r="D34" s="59" t="s">
        <v>292</v>
      </c>
      <c r="E34" s="103">
        <v>5</v>
      </c>
      <c r="F34" s="104">
        <v>1</v>
      </c>
      <c r="G34" s="25" t="str">
        <f>IFERROR(VLOOKUP(C34,'🥬 식재료 DB'!$C$7:$H$121,6,0),"")</f>
        <v/>
      </c>
      <c r="H34" s="62" t="str">
        <f t="shared" si="1"/>
        <v/>
      </c>
      <c r="I34" s="105"/>
      <c r="J34" s="105"/>
    </row>
    <row r="35" spans="2:11" ht="16.5" customHeight="1">
      <c r="B35" s="58">
        <v>5</v>
      </c>
      <c r="C35" s="6" t="s">
        <v>168</v>
      </c>
      <c r="D35" s="59" t="s">
        <v>292</v>
      </c>
      <c r="E35" s="60">
        <v>5</v>
      </c>
      <c r="F35" s="61">
        <v>1</v>
      </c>
      <c r="G35" s="25">
        <f>IFERROR(VLOOKUP(C35,'🥬 식재료 DB'!$C$7:$H$121,6,0),"")</f>
        <v>1</v>
      </c>
      <c r="H35" s="62">
        <f t="shared" si="1"/>
        <v>5</v>
      </c>
      <c r="I35" s="63"/>
      <c r="J35" s="63"/>
    </row>
    <row r="36" spans="2:11" ht="16.5" customHeight="1">
      <c r="B36" s="58">
        <v>6</v>
      </c>
      <c r="C36" s="102" t="s">
        <v>191</v>
      </c>
      <c r="D36" s="59" t="s">
        <v>292</v>
      </c>
      <c r="E36" s="103">
        <v>5</v>
      </c>
      <c r="F36" s="104">
        <v>1</v>
      </c>
      <c r="G36" s="25">
        <f>IFERROR(VLOOKUP(C36,'🥬 식재료 DB'!$C$7:$H$121,6,0),"")</f>
        <v>2.75</v>
      </c>
      <c r="H36" s="62">
        <f t="shared" si="1"/>
        <v>13.75</v>
      </c>
      <c r="I36" s="105"/>
      <c r="J36" s="105"/>
    </row>
    <row r="37" spans="2:11" ht="16.5" customHeight="1">
      <c r="B37" s="58">
        <v>7</v>
      </c>
      <c r="C37" s="6" t="s">
        <v>195</v>
      </c>
      <c r="D37" s="59" t="s">
        <v>292</v>
      </c>
      <c r="E37" s="60">
        <v>10</v>
      </c>
      <c r="F37" s="61">
        <v>1</v>
      </c>
      <c r="G37" s="25">
        <f>IFERROR(VLOOKUP(C37,'🥬 식재료 DB'!$C$7:$H$121,6,0),"")</f>
        <v>9</v>
      </c>
      <c r="H37" s="62">
        <f t="shared" si="1"/>
        <v>90</v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105"/>
      <c r="J38" s="105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105"/>
      <c r="J40" s="105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105"/>
      <c r="J42" s="105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" t="s">
        <v>361</v>
      </c>
      <c r="D44" s="72" t="s">
        <v>295</v>
      </c>
      <c r="E44" s="60">
        <v>30</v>
      </c>
      <c r="F44" s="61">
        <v>1</v>
      </c>
      <c r="G44" s="73">
        <f>IFERROR(VLOOKUP(C44,'🧪 프렙 원가표'!$C$8:$D$18,2,0),IFERROR(VLOOKUP(C44,'🥬 식재료 DB'!$C$7:$H$121,6,0),""))</f>
        <v>7.8971388888888887</v>
      </c>
      <c r="H44" s="74">
        <f>IFERROR(IF(AND(C44&lt;&gt;"",ISNUMBER(E44),ISNUMBER(F44),F44&gt;0,ISNUMBER(G44)),E44/F44*G44,""),"")</f>
        <v>236.91416666666666</v>
      </c>
      <c r="I44" s="63"/>
      <c r="J44" s="63"/>
    </row>
    <row r="45" spans="2:11" ht="16.5" customHeight="1">
      <c r="B45" s="71">
        <v>14</v>
      </c>
      <c r="C45" s="12" t="s">
        <v>358</v>
      </c>
      <c r="D45" s="72" t="s">
        <v>295</v>
      </c>
      <c r="E45" s="75">
        <v>30</v>
      </c>
      <c r="F45" s="76">
        <v>1</v>
      </c>
      <c r="G45" s="73" t="str">
        <f>IFERROR(VLOOKUP(C45,'🧪 프렙 원가표'!$C$8:$D$18,2,0),IFERROR(VLOOKUP(C45,'🥬 식재료 DB'!$C$7:$H$121,6,0),""))</f>
        <v/>
      </c>
      <c r="H45" s="74" t="str">
        <f>IFERROR(IF(AND(C45&lt;&gt;"",ISNUMBER(E45),ISNUMBER(F45),F45&gt;0,ISNUMBER(G45)),E45/F45*G45,""),"")</f>
        <v/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362</v>
      </c>
      <c r="D50" s="50"/>
      <c r="E50" s="52">
        <v>12000</v>
      </c>
      <c r="F50" s="53">
        <f>IFERROR(SUM(H52,H53,H54,H55,H56,H57,H58,H59,H60,H61,H62,H63,H65,H66,H67,H68,H69),0)</f>
        <v>641.25</v>
      </c>
      <c r="G50" s="54">
        <f>IFERROR(E50*'💰 고정비용 DB'!$D$22/'💰 고정비용 DB'!$D$25,0)</f>
        <v>7923.5647917609776</v>
      </c>
      <c r="H50" s="55">
        <f>IFERROR(G50-F50,"")</f>
        <v>7282.3147917609776</v>
      </c>
      <c r="I50" s="56">
        <f>IFERROR(H50/E50,"")</f>
        <v>0.60685956598008151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363</v>
      </c>
      <c r="D52" s="59" t="s">
        <v>292</v>
      </c>
      <c r="E52" s="60">
        <v>300</v>
      </c>
      <c r="F52" s="61">
        <v>1</v>
      </c>
      <c r="G52" s="25" t="str">
        <f>IFERROR(VLOOKUP(C52,'🥬 식재료 DB'!$C$7:$H$121,6,0),"")</f>
        <v/>
      </c>
      <c r="H52" s="62" t="str">
        <f t="shared" ref="H52:H63" si="2">IFERROR(IF(AND(C52&lt;&gt;"",ISNUMBER(E52),ISNUMBER(F52),F52&gt;0,ISNUMBER(G52)),E52/F52*G52,""),"")</f>
        <v/>
      </c>
      <c r="I52" s="63"/>
      <c r="J52" s="63"/>
    </row>
    <row r="53" spans="2:11" ht="16.5" customHeight="1">
      <c r="B53" s="58">
        <v>2</v>
      </c>
      <c r="C53" s="102" t="s">
        <v>195</v>
      </c>
      <c r="D53" s="59" t="s">
        <v>292</v>
      </c>
      <c r="E53" s="103">
        <v>10</v>
      </c>
      <c r="F53" s="104">
        <v>1</v>
      </c>
      <c r="G53" s="25">
        <f>IFERROR(VLOOKUP(C53,'🥬 식재료 DB'!$C$7:$H$121,6,0),"")</f>
        <v>9</v>
      </c>
      <c r="H53" s="62">
        <f t="shared" si="2"/>
        <v>90</v>
      </c>
      <c r="I53" s="105"/>
      <c r="J53" s="105"/>
    </row>
    <row r="54" spans="2:11" ht="16.5" customHeight="1">
      <c r="B54" s="58">
        <v>3</v>
      </c>
      <c r="C54" s="17" t="s">
        <v>174</v>
      </c>
      <c r="D54" s="59" t="s">
        <v>292</v>
      </c>
      <c r="E54" s="60">
        <v>5</v>
      </c>
      <c r="F54" s="61">
        <v>1</v>
      </c>
      <c r="G54" s="25">
        <f>IFERROR(VLOOKUP(C54,'🥬 식재료 DB'!$C$7:$H$121,6,0),"")</f>
        <v>22.5</v>
      </c>
      <c r="H54" s="62">
        <f t="shared" si="2"/>
        <v>112.5</v>
      </c>
      <c r="I54" s="63"/>
      <c r="J54" s="63"/>
    </row>
    <row r="55" spans="2:11" ht="16.5" customHeight="1">
      <c r="B55" s="58">
        <v>4</v>
      </c>
      <c r="C55" s="102" t="s">
        <v>360</v>
      </c>
      <c r="D55" s="59" t="s">
        <v>292</v>
      </c>
      <c r="E55" s="103">
        <v>5</v>
      </c>
      <c r="F55" s="104">
        <v>1</v>
      </c>
      <c r="G55" s="25" t="str">
        <f>IFERROR(VLOOKUP(C55,'🥬 식재료 DB'!$C$7:$H$121,6,0),"")</f>
        <v/>
      </c>
      <c r="H55" s="62" t="str">
        <f t="shared" si="2"/>
        <v/>
      </c>
      <c r="I55" s="105"/>
      <c r="J55" s="105"/>
    </row>
    <row r="56" spans="2:11" ht="16.5" customHeight="1">
      <c r="B56" s="58">
        <v>5</v>
      </c>
      <c r="C56" s="6" t="s">
        <v>303</v>
      </c>
      <c r="D56" s="59" t="s">
        <v>292</v>
      </c>
      <c r="E56" s="60">
        <v>10</v>
      </c>
      <c r="F56" s="61">
        <v>1</v>
      </c>
      <c r="G56" s="25" t="str">
        <f>IFERROR(VLOOKUP(C56,'🥬 식재료 DB'!$C$7:$H$121,6,0),"")</f>
        <v/>
      </c>
      <c r="H56" s="62" t="str">
        <f t="shared" si="2"/>
        <v/>
      </c>
      <c r="I56" s="63"/>
      <c r="J56" s="63"/>
    </row>
    <row r="57" spans="2:11" ht="16.5" customHeight="1">
      <c r="B57" s="58">
        <v>6</v>
      </c>
      <c r="C57" s="102" t="s">
        <v>168</v>
      </c>
      <c r="D57" s="59" t="s">
        <v>292</v>
      </c>
      <c r="E57" s="103">
        <v>5</v>
      </c>
      <c r="F57" s="104">
        <v>1</v>
      </c>
      <c r="G57" s="25">
        <f>IFERROR(VLOOKUP(C57,'🥬 식재료 DB'!$C$7:$H$121,6,0),"")</f>
        <v>1</v>
      </c>
      <c r="H57" s="62">
        <f t="shared" si="2"/>
        <v>5</v>
      </c>
      <c r="I57" s="105"/>
      <c r="J57" s="105"/>
    </row>
    <row r="58" spans="2:11" ht="16.5" customHeight="1">
      <c r="B58" s="58">
        <v>7</v>
      </c>
      <c r="C58" s="6" t="s">
        <v>191</v>
      </c>
      <c r="D58" s="59" t="s">
        <v>292</v>
      </c>
      <c r="E58" s="60">
        <v>5</v>
      </c>
      <c r="F58" s="61">
        <v>1</v>
      </c>
      <c r="G58" s="25">
        <f>IFERROR(VLOOKUP(C58,'🥬 식재료 DB'!$C$7:$H$121,6,0),"")</f>
        <v>2.75</v>
      </c>
      <c r="H58" s="62">
        <f t="shared" si="2"/>
        <v>13.75</v>
      </c>
      <c r="I58" s="63"/>
      <c r="J58" s="63"/>
    </row>
    <row r="59" spans="2:11" ht="16.5" customHeight="1">
      <c r="B59" s="58">
        <v>8</v>
      </c>
      <c r="C59" s="102" t="s">
        <v>236</v>
      </c>
      <c r="D59" s="59" t="s">
        <v>292</v>
      </c>
      <c r="E59" s="103">
        <v>30</v>
      </c>
      <c r="F59" s="104">
        <v>1</v>
      </c>
      <c r="G59" s="25">
        <f>IFERROR(VLOOKUP(C59,'🥬 식재료 DB'!$C$7:$H$121,6,0),"")</f>
        <v>14</v>
      </c>
      <c r="H59" s="62">
        <f t="shared" si="2"/>
        <v>420</v>
      </c>
      <c r="I59" s="105"/>
      <c r="J59" s="105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105"/>
      <c r="J61" s="105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105"/>
      <c r="J63" s="105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8"/>
      <c r="D65" s="72" t="s">
        <v>295</v>
      </c>
      <c r="E65" s="69"/>
      <c r="F65" s="70"/>
      <c r="G65" s="73" t="str">
        <f>IFERROR(VLOOKUP(C65,'🧪 프렙 원가표'!$C$8:$D$18,2,0),IFERROR(VLOOKUP(C65,'🥬 식재료 DB'!$C$7:$H$121,6,0),""))</f>
        <v/>
      </c>
      <c r="H65" s="74" t="str">
        <f>IFERROR(IF(AND(C65&lt;&gt;"",ISNUMBER(E65),ISNUMBER(F65),F65&gt;0,ISNUMBER(G65)),E65/F65*G65,""),"")</f>
        <v/>
      </c>
      <c r="I65" s="63"/>
      <c r="J65" s="63"/>
    </row>
    <row r="66" spans="2:11" ht="16.5" customHeight="1">
      <c r="B66" s="71">
        <v>14</v>
      </c>
      <c r="C66" s="68"/>
      <c r="D66" s="72" t="s">
        <v>295</v>
      </c>
      <c r="E66" s="69"/>
      <c r="F66" s="70"/>
      <c r="G66" s="73" t="str">
        <f>IFERROR(VLOOKUP(C66,'🧪 프렙 원가표'!$C$8:$D$18,2,0),IFERROR(VLOOKUP(C66,'🥬 식재료 DB'!$C$7:$H$121,6,0),""))</f>
        <v/>
      </c>
      <c r="H66" s="74" t="str">
        <f>IFERROR(IF(AND(C66&lt;&gt;"",ISNUMBER(E66),ISNUMBER(F66),F66&gt;0,ISNUMBER(G66)),E66/F66*G66,""),"")</f>
        <v/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364</v>
      </c>
      <c r="D71" s="50"/>
      <c r="E71" s="52">
        <v>13000</v>
      </c>
      <c r="F71" s="53">
        <f>IFERROR(SUM(H73,H74,H75,H76,H77,H78,H79,H80,H81,H82,H83,H84,H85,H87,H88,H89,H90,H91),0)</f>
        <v>4033.0833333333335</v>
      </c>
      <c r="G71" s="54">
        <f>IFERROR(E71*'💰 고정비용 DB'!$D$22/'💰 고정비용 DB'!$D$25,0)</f>
        <v>8583.8618577410598</v>
      </c>
      <c r="H71" s="55">
        <f>IFERROR(G71-F71,"")</f>
        <v>4550.7785244077259</v>
      </c>
      <c r="I71" s="56">
        <f>IFERROR(H71/E71,"")</f>
        <v>0.35005988649290198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202</v>
      </c>
      <c r="D73" s="59" t="s">
        <v>292</v>
      </c>
      <c r="E73" s="60">
        <v>250</v>
      </c>
      <c r="F73" s="61">
        <v>1</v>
      </c>
      <c r="G73" s="25">
        <f>IFERROR(VLOOKUP(C73,'🥬 식재료 DB'!$C$7:$H$121,6,0),"")</f>
        <v>15</v>
      </c>
      <c r="H73" s="62">
        <f t="shared" ref="H73:H85" si="3">IFERROR(IF(AND(C73&lt;&gt;"",ISNUMBER(E73),ISNUMBER(F73),F73&gt;0,ISNUMBER(G73)),E73/F73*G73,""),"")</f>
        <v>3750</v>
      </c>
      <c r="I73" s="63"/>
      <c r="J73" s="63"/>
    </row>
    <row r="74" spans="2:11" ht="16.5" customHeight="1">
      <c r="B74" s="58">
        <v>2</v>
      </c>
      <c r="C74" s="106" t="s">
        <v>174</v>
      </c>
      <c r="D74" s="59" t="s">
        <v>292</v>
      </c>
      <c r="E74" s="103">
        <v>5</v>
      </c>
      <c r="F74" s="104">
        <v>1</v>
      </c>
      <c r="G74" s="25">
        <f>IFERROR(VLOOKUP(C74,'🥬 식재료 DB'!$C$7:$H$121,6,0),"")</f>
        <v>22.5</v>
      </c>
      <c r="H74" s="62">
        <f t="shared" si="3"/>
        <v>112.5</v>
      </c>
      <c r="I74" s="105"/>
      <c r="J74" s="105"/>
    </row>
    <row r="75" spans="2:11" ht="16.5" customHeight="1">
      <c r="B75" s="58">
        <v>3</v>
      </c>
      <c r="C75" s="6" t="s">
        <v>365</v>
      </c>
      <c r="D75" s="59" t="s">
        <v>292</v>
      </c>
      <c r="E75" s="60">
        <v>5</v>
      </c>
      <c r="F75" s="61">
        <v>1</v>
      </c>
      <c r="G75" s="25" t="str">
        <f>IFERROR(VLOOKUP(C75,'🥬 식재료 DB'!$C$7:$H$121,6,0),"")</f>
        <v/>
      </c>
      <c r="H75" s="62" t="str">
        <f t="shared" si="3"/>
        <v/>
      </c>
      <c r="I75" s="63"/>
      <c r="J75" s="63"/>
    </row>
    <row r="76" spans="2:11" ht="16.5" customHeight="1">
      <c r="B76" s="58">
        <v>4</v>
      </c>
      <c r="C76" s="106" t="s">
        <v>179</v>
      </c>
      <c r="D76" s="59" t="s">
        <v>292</v>
      </c>
      <c r="E76" s="103">
        <v>3</v>
      </c>
      <c r="F76" s="104">
        <v>1</v>
      </c>
      <c r="G76" s="25">
        <f>IFERROR(VLOOKUP(C76,'🥬 식재료 DB'!$C$7:$H$121,6,0),"")</f>
        <v>15</v>
      </c>
      <c r="H76" s="62">
        <f t="shared" si="3"/>
        <v>45</v>
      </c>
      <c r="I76" s="105"/>
      <c r="J76" s="105"/>
    </row>
    <row r="77" spans="2:11" ht="16.5" customHeight="1">
      <c r="B77" s="58">
        <v>5</v>
      </c>
      <c r="C77" s="6" t="s">
        <v>303</v>
      </c>
      <c r="D77" s="59" t="s">
        <v>292</v>
      </c>
      <c r="E77" s="60">
        <v>10</v>
      </c>
      <c r="F77" s="61">
        <v>1</v>
      </c>
      <c r="G77" s="25" t="str">
        <f>IFERROR(VLOOKUP(C77,'🥬 식재료 DB'!$C$7:$H$121,6,0),"")</f>
        <v/>
      </c>
      <c r="H77" s="62" t="str">
        <f t="shared" si="3"/>
        <v/>
      </c>
      <c r="I77" s="63"/>
      <c r="J77" s="63"/>
    </row>
    <row r="78" spans="2:11" ht="16.5" customHeight="1">
      <c r="B78" s="58">
        <v>6</v>
      </c>
      <c r="C78" s="106" t="s">
        <v>366</v>
      </c>
      <c r="D78" s="59" t="s">
        <v>292</v>
      </c>
      <c r="E78" s="103">
        <v>30</v>
      </c>
      <c r="F78" s="104">
        <v>1</v>
      </c>
      <c r="G78" s="25" t="str">
        <f>IFERROR(VLOOKUP(C78,'🥬 식재료 DB'!$C$7:$H$121,6,0),"")</f>
        <v/>
      </c>
      <c r="H78" s="62" t="str">
        <f t="shared" si="3"/>
        <v/>
      </c>
      <c r="I78" s="105"/>
      <c r="J78" s="105"/>
    </row>
    <row r="79" spans="2:11" ht="16.5" customHeight="1">
      <c r="B79" s="58">
        <v>7</v>
      </c>
      <c r="C79" s="17" t="s">
        <v>220</v>
      </c>
      <c r="D79" s="59" t="s">
        <v>292</v>
      </c>
      <c r="E79" s="60">
        <v>5</v>
      </c>
      <c r="F79" s="61">
        <v>1</v>
      </c>
      <c r="G79" s="25">
        <f>IFERROR(VLOOKUP(C79,'🥬 식재료 DB'!$C$7:$H$121,6,0),"")</f>
        <v>6</v>
      </c>
      <c r="H79" s="62">
        <f t="shared" si="3"/>
        <v>30</v>
      </c>
      <c r="I79" s="63"/>
      <c r="J79" s="63"/>
    </row>
    <row r="80" spans="2:11" ht="16.5" customHeight="1">
      <c r="B80" s="58">
        <v>8</v>
      </c>
      <c r="C80" s="102" t="s">
        <v>191</v>
      </c>
      <c r="D80" s="59" t="s">
        <v>292</v>
      </c>
      <c r="E80" s="103">
        <v>5</v>
      </c>
      <c r="F80" s="104">
        <v>1</v>
      </c>
      <c r="G80" s="25">
        <f>IFERROR(VLOOKUP(C80,'🥬 식재료 DB'!$C$7:$H$121,6,0),"")</f>
        <v>2.75</v>
      </c>
      <c r="H80" s="62">
        <f t="shared" si="3"/>
        <v>13.75</v>
      </c>
      <c r="I80" s="105"/>
      <c r="J80" s="105"/>
    </row>
    <row r="81" spans="2:11" ht="16.5" customHeight="1">
      <c r="B81" s="58">
        <v>9</v>
      </c>
      <c r="C81" s="6" t="s">
        <v>244</v>
      </c>
      <c r="D81" s="59" t="s">
        <v>292</v>
      </c>
      <c r="E81" s="60">
        <v>5</v>
      </c>
      <c r="F81" s="61">
        <v>1</v>
      </c>
      <c r="G81" s="25">
        <f>IFERROR(VLOOKUP(C81,'🥬 식재료 DB'!$C$7:$H$121,6,0),"")</f>
        <v>5.5</v>
      </c>
      <c r="H81" s="62">
        <f t="shared" si="3"/>
        <v>27.5</v>
      </c>
      <c r="I81" s="63"/>
      <c r="J81" s="63"/>
    </row>
    <row r="82" spans="2:11" ht="16.5" customHeight="1">
      <c r="B82" s="58">
        <v>10</v>
      </c>
      <c r="C82" s="102" t="s">
        <v>226</v>
      </c>
      <c r="D82" s="59" t="s">
        <v>292</v>
      </c>
      <c r="E82" s="103">
        <v>5</v>
      </c>
      <c r="F82" s="104">
        <v>1</v>
      </c>
      <c r="G82" s="25">
        <f>IFERROR(VLOOKUP(C82,'🥬 식재료 DB'!$C$7:$H$121,6,0),"")</f>
        <v>9</v>
      </c>
      <c r="H82" s="62">
        <f t="shared" si="3"/>
        <v>45</v>
      </c>
      <c r="I82" s="105"/>
      <c r="J82" s="105"/>
    </row>
    <row r="83" spans="2:11" ht="16.5" customHeight="1">
      <c r="B83" s="58">
        <v>11</v>
      </c>
      <c r="C83" s="6" t="s">
        <v>140</v>
      </c>
      <c r="D83" s="59" t="s">
        <v>292</v>
      </c>
      <c r="E83" s="60">
        <v>10</v>
      </c>
      <c r="F83" s="61">
        <v>1</v>
      </c>
      <c r="G83" s="25">
        <f>IFERROR(VLOOKUP(C83,'🥬 식재료 DB'!$C$7:$H$121,6,0),"")</f>
        <v>0.93333333333333335</v>
      </c>
      <c r="H83" s="62">
        <f t="shared" si="3"/>
        <v>9.3333333333333339</v>
      </c>
      <c r="I83" s="63"/>
      <c r="J83" s="63"/>
    </row>
    <row r="84" spans="2:11" ht="16.5" customHeight="1">
      <c r="B84" s="58">
        <v>12</v>
      </c>
      <c r="C84" s="68"/>
      <c r="D84" s="59" t="s">
        <v>292</v>
      </c>
      <c r="E84" s="69"/>
      <c r="F84" s="70"/>
      <c r="G84" s="25" t="str">
        <f>IFERROR(VLOOKUP(C84,'🥬 식재료 DB'!$C$7:$H$121,6,0),"")</f>
        <v/>
      </c>
      <c r="H84" s="62" t="str">
        <f t="shared" si="3"/>
        <v/>
      </c>
      <c r="I84" s="105"/>
      <c r="J84" s="105"/>
    </row>
    <row r="85" spans="2:11" ht="16.5" customHeight="1">
      <c r="B85" s="58">
        <v>13</v>
      </c>
      <c r="C85" s="68"/>
      <c r="D85" s="59" t="s">
        <v>292</v>
      </c>
      <c r="E85" s="69"/>
      <c r="F85" s="70"/>
      <c r="G85" s="25" t="str">
        <f>IFERROR(VLOOKUP(C85,'🥬 식재료 DB'!$C$7:$H$121,6,0),"")</f>
        <v/>
      </c>
      <c r="H85" s="62" t="str">
        <f t="shared" si="3"/>
        <v/>
      </c>
      <c r="I85" s="63"/>
      <c r="J85" s="63"/>
    </row>
    <row r="86" spans="2:11" ht="12.75" customHeight="1">
      <c r="B86" s="203" t="s">
        <v>293</v>
      </c>
      <c r="C86" s="203"/>
      <c r="D86" s="203"/>
      <c r="E86" s="203"/>
      <c r="F86" s="203"/>
      <c r="G86" s="203"/>
      <c r="H86" s="203"/>
      <c r="I86" s="203"/>
      <c r="J86" s="203"/>
      <c r="K86" s="203"/>
    </row>
    <row r="87" spans="2:11" ht="16.5" customHeight="1">
      <c r="B87" s="71">
        <v>14</v>
      </c>
      <c r="C87" s="68"/>
      <c r="D87" s="72" t="s">
        <v>295</v>
      </c>
      <c r="E87" s="69"/>
      <c r="F87" s="70"/>
      <c r="G87" s="73" t="str">
        <f>IFERROR(VLOOKUP(C87,'🧪 프렙 원가표'!$C$8:$D$18,2,0),IFERROR(VLOOKUP(C87,'🥬 식재료 DB'!$C$7:$H$121,6,0),""))</f>
        <v/>
      </c>
      <c r="H87" s="74" t="str">
        <f>IFERROR(IF(AND(C87&lt;&gt;"",ISNUMBER(E87),ISNUMBER(F87),F87&gt;0,ISNUMBER(G87)),E87/F87*G87,""),"")</f>
        <v/>
      </c>
      <c r="I87" s="63"/>
      <c r="J87" s="63"/>
    </row>
    <row r="88" spans="2:11" ht="16.5" customHeight="1">
      <c r="B88" s="71">
        <v>15</v>
      </c>
      <c r="C88" s="68"/>
      <c r="D88" s="72" t="s">
        <v>295</v>
      </c>
      <c r="E88" s="69"/>
      <c r="F88" s="70"/>
      <c r="G88" s="73" t="str">
        <f>IFERROR(VLOOKUP(C88,'🧪 프렙 원가표'!$C$8:$D$18,2,0),IFERROR(VLOOKUP(C88,'🥬 식재료 DB'!$C$7:$H$121,6,0),""))</f>
        <v/>
      </c>
      <c r="H88" s="74" t="str">
        <f>IFERROR(IF(AND(C88&lt;&gt;"",ISNUMBER(E88),ISNUMBER(F88),F88&gt;0,ISNUMBER(G88)),E88/F88*G88,""),"")</f>
        <v/>
      </c>
      <c r="I88" s="77"/>
      <c r="J88" s="77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63"/>
      <c r="J89" s="63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77"/>
      <c r="J90" s="77"/>
    </row>
    <row r="91" spans="2:11" ht="16.5" customHeight="1">
      <c r="B91" s="71">
        <v>18</v>
      </c>
      <c r="C91" s="68"/>
      <c r="D91" s="72" t="s">
        <v>295</v>
      </c>
      <c r="E91" s="69"/>
      <c r="F91" s="70"/>
      <c r="G91" s="73" t="str">
        <f>IFERROR(VLOOKUP(C91,'🧪 프렙 원가표'!$C$8:$D$18,2,0),IFERROR(VLOOKUP(C91,'🥬 식재료 DB'!$C$7:$H$121,6,0),""))</f>
        <v/>
      </c>
      <c r="H91" s="74" t="str">
        <f>IFERROR(IF(AND(C91&lt;&gt;"",ISNUMBER(E91),ISNUMBER(F91),F91&gt;0,ISNUMBER(G91)),E91/F91*G91,""),"")</f>
        <v/>
      </c>
      <c r="I91" s="63"/>
      <c r="J91" s="63"/>
    </row>
    <row r="92" spans="2:11" ht="3.75" customHeight="1">
      <c r="B92" s="78"/>
      <c r="C92" s="78"/>
      <c r="D92" s="78"/>
      <c r="E92" s="78"/>
      <c r="F92" s="78"/>
      <c r="G92" s="78"/>
      <c r="H92" s="78"/>
      <c r="I92" s="78"/>
      <c r="J92" s="78"/>
      <c r="K92" s="78"/>
    </row>
    <row r="93" spans="2:11" ht="27" customHeight="1">
      <c r="B93" s="50"/>
      <c r="C93" s="51" t="s">
        <v>367</v>
      </c>
      <c r="D93" s="50"/>
      <c r="E93" s="52">
        <v>30000</v>
      </c>
      <c r="F93" s="53">
        <f>IFERROR(SUM(H95,H96,H97,H98,H99,H100,H101,H102,H103,H104,H105,H106,H107,H109,H110,H111,H112,H113),0)</f>
        <v>1015.3947368421052</v>
      </c>
      <c r="G93" s="54">
        <f>IFERROR(E93*'💰 고정비용 DB'!$D$22/'💰 고정비용 DB'!$D$25,0)</f>
        <v>19808.911979402445</v>
      </c>
      <c r="H93" s="55">
        <f>IFERROR(G93-F93,"")</f>
        <v>18793.517242560338</v>
      </c>
      <c r="I93" s="56">
        <f>IFERROR(H93/E93,"")</f>
        <v>0.62645057475201127</v>
      </c>
      <c r="J93" s="57" t="str">
        <f>IF(I93="","⬜ 미입력",IF(I93&lt;=0.2,"✅ 양호",IF(I93&lt;=0.32,"🟡 주의","🔴 과다")))</f>
        <v>🔴 과다</v>
      </c>
      <c r="K93" s="50"/>
    </row>
    <row r="94" spans="2:11" ht="12.75" customHeight="1">
      <c r="B94" s="204" t="s">
        <v>291</v>
      </c>
      <c r="C94" s="204"/>
      <c r="D94" s="204"/>
      <c r="E94" s="204"/>
      <c r="F94" s="204"/>
      <c r="G94" s="204"/>
      <c r="H94" s="204"/>
      <c r="I94" s="204"/>
      <c r="J94" s="204"/>
      <c r="K94" s="204"/>
    </row>
    <row r="95" spans="2:11" ht="16.5" customHeight="1">
      <c r="B95" s="58">
        <v>1</v>
      </c>
      <c r="C95" s="6" t="s">
        <v>368</v>
      </c>
      <c r="D95" s="59" t="s">
        <v>292</v>
      </c>
      <c r="E95" s="60">
        <v>450</v>
      </c>
      <c r="F95" s="61">
        <v>1</v>
      </c>
      <c r="G95" s="25" t="str">
        <f>IFERROR(VLOOKUP(C95,'🥬 식재료 DB'!$C$7:$H$121,6,0),"")</f>
        <v/>
      </c>
      <c r="H95" s="62" t="str">
        <f t="shared" ref="H95:H107" si="4">IFERROR(IF(AND(C95&lt;&gt;"",ISNUMBER(E95),ISNUMBER(F95),F95&gt;0,ISNUMBER(G95)),E95/F95*G95,""),"")</f>
        <v/>
      </c>
      <c r="I95" s="63"/>
      <c r="J95" s="63"/>
    </row>
    <row r="96" spans="2:11" ht="16.5" customHeight="1">
      <c r="B96" s="58">
        <v>2</v>
      </c>
      <c r="C96" s="102" t="s">
        <v>316</v>
      </c>
      <c r="D96" s="59" t="s">
        <v>292</v>
      </c>
      <c r="E96" s="103">
        <v>300</v>
      </c>
      <c r="F96" s="104">
        <v>1</v>
      </c>
      <c r="G96" s="25" t="str">
        <f>IFERROR(VLOOKUP(C96,'🥬 식재료 DB'!$C$7:$H$121,6,0),"")</f>
        <v/>
      </c>
      <c r="H96" s="62" t="str">
        <f t="shared" si="4"/>
        <v/>
      </c>
      <c r="I96" s="105"/>
      <c r="J96" s="105"/>
    </row>
    <row r="97" spans="2:11" ht="16.5" customHeight="1">
      <c r="B97" s="58">
        <v>3</v>
      </c>
      <c r="C97" s="6" t="s">
        <v>369</v>
      </c>
      <c r="D97" s="59" t="s">
        <v>292</v>
      </c>
      <c r="E97" s="60">
        <v>50</v>
      </c>
      <c r="F97" s="61">
        <v>1</v>
      </c>
      <c r="G97" s="25" t="str">
        <f>IFERROR(VLOOKUP(C97,'🥬 식재료 DB'!$C$7:$H$121,6,0),"")</f>
        <v/>
      </c>
      <c r="H97" s="62" t="str">
        <f t="shared" si="4"/>
        <v/>
      </c>
      <c r="I97" s="63"/>
      <c r="J97" s="63"/>
    </row>
    <row r="98" spans="2:11" ht="16.5" customHeight="1">
      <c r="B98" s="58">
        <v>4</v>
      </c>
      <c r="C98" s="102" t="s">
        <v>360</v>
      </c>
      <c r="D98" s="59" t="s">
        <v>292</v>
      </c>
      <c r="E98" s="103">
        <v>5</v>
      </c>
      <c r="F98" s="104">
        <v>1</v>
      </c>
      <c r="G98" s="25" t="str">
        <f>IFERROR(VLOOKUP(C98,'🥬 식재료 DB'!$C$7:$H$121,6,0),"")</f>
        <v/>
      </c>
      <c r="H98" s="62" t="str">
        <f t="shared" si="4"/>
        <v/>
      </c>
      <c r="I98" s="105"/>
      <c r="J98" s="105"/>
    </row>
    <row r="99" spans="2:11" ht="16.5" customHeight="1">
      <c r="B99" s="58">
        <v>5</v>
      </c>
      <c r="C99" s="17" t="s">
        <v>174</v>
      </c>
      <c r="D99" s="59" t="s">
        <v>292</v>
      </c>
      <c r="E99" s="60">
        <v>5</v>
      </c>
      <c r="F99" s="61">
        <v>1</v>
      </c>
      <c r="G99" s="25">
        <f>IFERROR(VLOOKUP(C99,'🥬 식재료 DB'!$C$7:$H$121,6,0),"")</f>
        <v>22.5</v>
      </c>
      <c r="H99" s="62">
        <f t="shared" si="4"/>
        <v>112.5</v>
      </c>
      <c r="I99" s="63"/>
      <c r="J99" s="63"/>
    </row>
    <row r="100" spans="2:11" ht="16.5" customHeight="1">
      <c r="B100" s="58">
        <v>6</v>
      </c>
      <c r="C100" s="102" t="s">
        <v>215</v>
      </c>
      <c r="D100" s="59" t="s">
        <v>292</v>
      </c>
      <c r="E100" s="103">
        <v>50</v>
      </c>
      <c r="F100" s="104">
        <v>1</v>
      </c>
      <c r="G100" s="25">
        <f>IFERROR(VLOOKUP(C100,'🥬 식재료 DB'!$C$7:$H$121,6,0),"")</f>
        <v>4.25</v>
      </c>
      <c r="H100" s="62">
        <f t="shared" si="4"/>
        <v>212.5</v>
      </c>
      <c r="I100" s="105"/>
      <c r="J100" s="105"/>
    </row>
    <row r="101" spans="2:11" ht="16.5" customHeight="1">
      <c r="B101" s="58">
        <v>7</v>
      </c>
      <c r="C101" s="6" t="s">
        <v>206</v>
      </c>
      <c r="D101" s="59" t="s">
        <v>292</v>
      </c>
      <c r="E101" s="60">
        <v>20</v>
      </c>
      <c r="F101" s="61">
        <v>1</v>
      </c>
      <c r="G101" s="25">
        <f>IFERROR(VLOOKUP(C101,'🥬 식재료 DB'!$C$7:$H$121,6,0),"")</f>
        <v>12.894736842105264</v>
      </c>
      <c r="H101" s="62">
        <f t="shared" si="4"/>
        <v>257.89473684210526</v>
      </c>
      <c r="I101" s="63"/>
      <c r="J101" s="63"/>
    </row>
    <row r="102" spans="2:11" ht="16.5" customHeight="1">
      <c r="B102" s="58">
        <v>8</v>
      </c>
      <c r="C102" s="102" t="s">
        <v>162</v>
      </c>
      <c r="D102" s="59" t="s">
        <v>292</v>
      </c>
      <c r="E102" s="103">
        <v>5</v>
      </c>
      <c r="F102" s="104">
        <v>1</v>
      </c>
      <c r="G102" s="25">
        <f>IFERROR(VLOOKUP(C102,'🥬 식재료 DB'!$C$7:$H$121,6,0),"")</f>
        <v>22.5</v>
      </c>
      <c r="H102" s="62">
        <f t="shared" si="4"/>
        <v>112.5</v>
      </c>
      <c r="I102" s="105"/>
      <c r="J102" s="105"/>
    </row>
    <row r="103" spans="2:11" ht="16.5" customHeight="1">
      <c r="B103" s="58">
        <v>9</v>
      </c>
      <c r="C103" s="6" t="s">
        <v>168</v>
      </c>
      <c r="D103" s="59" t="s">
        <v>292</v>
      </c>
      <c r="E103" s="60">
        <v>15</v>
      </c>
      <c r="F103" s="61">
        <v>1</v>
      </c>
      <c r="G103" s="25">
        <f>IFERROR(VLOOKUP(C103,'🥬 식재료 DB'!$C$7:$H$121,6,0),"")</f>
        <v>1</v>
      </c>
      <c r="H103" s="62">
        <f t="shared" si="4"/>
        <v>15</v>
      </c>
      <c r="I103" s="63"/>
      <c r="J103" s="63"/>
    </row>
    <row r="104" spans="2:11" ht="16.5" customHeight="1">
      <c r="B104" s="58">
        <v>10</v>
      </c>
      <c r="C104" s="102" t="s">
        <v>245</v>
      </c>
      <c r="D104" s="59" t="s">
        <v>292</v>
      </c>
      <c r="E104" s="103">
        <v>50</v>
      </c>
      <c r="F104" s="104">
        <v>1</v>
      </c>
      <c r="G104" s="25">
        <f>IFERROR(VLOOKUP(C104,'🥬 식재료 DB'!$C$7:$H$121,6,0),"")</f>
        <v>5</v>
      </c>
      <c r="H104" s="62">
        <f t="shared" si="4"/>
        <v>250</v>
      </c>
      <c r="I104" s="105"/>
      <c r="J104" s="105"/>
    </row>
    <row r="105" spans="2:11" ht="16.5" customHeight="1">
      <c r="B105" s="58">
        <v>11</v>
      </c>
      <c r="C105" s="6" t="s">
        <v>244</v>
      </c>
      <c r="D105" s="59" t="s">
        <v>292</v>
      </c>
      <c r="E105" s="60">
        <v>10</v>
      </c>
      <c r="F105" s="61">
        <v>1</v>
      </c>
      <c r="G105" s="25">
        <f>IFERROR(VLOOKUP(C105,'🥬 식재료 DB'!$C$7:$H$121,6,0),"")</f>
        <v>5.5</v>
      </c>
      <c r="H105" s="62">
        <f t="shared" si="4"/>
        <v>55</v>
      </c>
      <c r="I105" s="63"/>
      <c r="J105" s="63"/>
    </row>
    <row r="106" spans="2:11" ht="16.5" customHeight="1">
      <c r="B106" s="58">
        <v>12</v>
      </c>
      <c r="C106" s="68"/>
      <c r="D106" s="59" t="s">
        <v>292</v>
      </c>
      <c r="E106" s="69"/>
      <c r="F106" s="70"/>
      <c r="G106" s="25" t="str">
        <f>IFERROR(VLOOKUP(C106,'🥬 식재료 DB'!$C$7:$H$121,6,0),"")</f>
        <v/>
      </c>
      <c r="H106" s="62" t="str">
        <f t="shared" si="4"/>
        <v/>
      </c>
      <c r="I106" s="105"/>
      <c r="J106" s="105"/>
    </row>
    <row r="107" spans="2:11" ht="16.5" customHeight="1">
      <c r="B107" s="58">
        <v>13</v>
      </c>
      <c r="C107" s="68"/>
      <c r="D107" s="59" t="s">
        <v>292</v>
      </c>
      <c r="E107" s="69"/>
      <c r="F107" s="70"/>
      <c r="G107" s="25" t="str">
        <f>IFERROR(VLOOKUP(C107,'🥬 식재료 DB'!$C$7:$H$121,6,0),"")</f>
        <v/>
      </c>
      <c r="H107" s="62" t="str">
        <f t="shared" si="4"/>
        <v/>
      </c>
      <c r="I107" s="63"/>
      <c r="J107" s="63"/>
    </row>
    <row r="108" spans="2:11" ht="12.75" customHeight="1">
      <c r="B108" s="203" t="s">
        <v>293</v>
      </c>
      <c r="C108" s="203"/>
      <c r="D108" s="203"/>
      <c r="E108" s="203"/>
      <c r="F108" s="203"/>
      <c r="G108" s="203"/>
      <c r="H108" s="203"/>
      <c r="I108" s="203"/>
      <c r="J108" s="203"/>
      <c r="K108" s="203"/>
    </row>
    <row r="109" spans="2:11" ht="16.5" customHeight="1">
      <c r="B109" s="71">
        <v>14</v>
      </c>
      <c r="C109" s="68"/>
      <c r="D109" s="72" t="s">
        <v>295</v>
      </c>
      <c r="E109" s="69"/>
      <c r="F109" s="70"/>
      <c r="G109" s="73" t="str">
        <f>IFERROR(VLOOKUP(C109,'🧪 프렙 원가표'!$C$8:$D$18,2,0),IFERROR(VLOOKUP(C109,'🥬 식재료 DB'!$C$7:$H$121,6,0),""))</f>
        <v/>
      </c>
      <c r="H109" s="74" t="str">
        <f>IFERROR(IF(AND(C109&lt;&gt;"",ISNUMBER(E109),ISNUMBER(F109),F109&gt;0,ISNUMBER(G109)),E109/F109*G109,""),"")</f>
        <v/>
      </c>
      <c r="I109" s="63"/>
      <c r="J109" s="63"/>
    </row>
    <row r="110" spans="2:11" ht="16.5" customHeight="1">
      <c r="B110" s="71">
        <v>15</v>
      </c>
      <c r="C110" s="68"/>
      <c r="D110" s="72" t="s">
        <v>295</v>
      </c>
      <c r="E110" s="69"/>
      <c r="F110" s="70"/>
      <c r="G110" s="73" t="str">
        <f>IFERROR(VLOOKUP(C110,'🧪 프렙 원가표'!$C$8:$D$18,2,0),IFERROR(VLOOKUP(C110,'🥬 식재료 DB'!$C$7:$H$121,6,0),""))</f>
        <v/>
      </c>
      <c r="H110" s="74" t="str">
        <f>IFERROR(IF(AND(C110&lt;&gt;"",ISNUMBER(E110),ISNUMBER(F110),F110&gt;0,ISNUMBER(G110)),E110/F110*G110,""),"")</f>
        <v/>
      </c>
      <c r="I110" s="77"/>
      <c r="J110" s="77"/>
    </row>
    <row r="111" spans="2:11" ht="16.5" customHeight="1">
      <c r="B111" s="71">
        <v>16</v>
      </c>
      <c r="C111" s="68"/>
      <c r="D111" s="72" t="s">
        <v>295</v>
      </c>
      <c r="E111" s="69"/>
      <c r="F111" s="70"/>
      <c r="G111" s="73" t="str">
        <f>IFERROR(VLOOKUP(C111,'🧪 프렙 원가표'!$C$8:$D$18,2,0),IFERROR(VLOOKUP(C111,'🥬 식재료 DB'!$C$7:$H$121,6,0),""))</f>
        <v/>
      </c>
      <c r="H111" s="74" t="str">
        <f>IFERROR(IF(AND(C111&lt;&gt;"",ISNUMBER(E111),ISNUMBER(F111),F111&gt;0,ISNUMBER(G111)),E111/F111*G111,""),"")</f>
        <v/>
      </c>
      <c r="I111" s="63"/>
      <c r="J111" s="63"/>
    </row>
    <row r="112" spans="2:11" ht="16.5" customHeight="1">
      <c r="B112" s="71">
        <v>17</v>
      </c>
      <c r="C112" s="68"/>
      <c r="D112" s="72" t="s">
        <v>295</v>
      </c>
      <c r="E112" s="69"/>
      <c r="F112" s="70"/>
      <c r="G112" s="73" t="str">
        <f>IFERROR(VLOOKUP(C112,'🧪 프렙 원가표'!$C$8:$D$18,2,0),IFERROR(VLOOKUP(C112,'🥬 식재료 DB'!$C$7:$H$121,6,0),""))</f>
        <v/>
      </c>
      <c r="H112" s="74" t="str">
        <f>IFERROR(IF(AND(C112&lt;&gt;"",ISNUMBER(E112),ISNUMBER(F112),F112&gt;0,ISNUMBER(G112)),E112/F112*G112,""),"")</f>
        <v/>
      </c>
      <c r="I112" s="77"/>
      <c r="J112" s="77"/>
    </row>
    <row r="113" spans="2:11" ht="16.5" customHeight="1">
      <c r="B113" s="71">
        <v>18</v>
      </c>
      <c r="C113" s="68"/>
      <c r="D113" s="72" t="s">
        <v>295</v>
      </c>
      <c r="E113" s="69"/>
      <c r="F113" s="70"/>
      <c r="G113" s="73" t="str">
        <f>IFERROR(VLOOKUP(C113,'🧪 프렙 원가표'!$C$8:$D$18,2,0),IFERROR(VLOOKUP(C113,'🥬 식재료 DB'!$C$7:$H$121,6,0),""))</f>
        <v/>
      </c>
      <c r="H113" s="74" t="str">
        <f>IFERROR(IF(AND(C113&lt;&gt;"",ISNUMBER(E113),ISNUMBER(F113),F113&gt;0,ISNUMBER(G113)),E113/F113*G113,""),"")</f>
        <v/>
      </c>
      <c r="I113" s="63"/>
      <c r="J113" s="63"/>
    </row>
    <row r="114" spans="2:11" ht="3.75" customHeight="1">
      <c r="B114" s="78"/>
      <c r="C114" s="78"/>
      <c r="D114" s="78"/>
      <c r="E114" s="78"/>
      <c r="F114" s="78"/>
      <c r="G114" s="78"/>
      <c r="H114" s="78"/>
      <c r="I114" s="78"/>
      <c r="J114" s="78"/>
      <c r="K114" s="78"/>
    </row>
    <row r="115" spans="2:11" ht="27" customHeight="1">
      <c r="B115" s="50"/>
      <c r="C115" s="51" t="s">
        <v>370</v>
      </c>
      <c r="D115" s="50"/>
      <c r="E115" s="52">
        <v>10000</v>
      </c>
      <c r="F115" s="53">
        <f>IFERROR(SUM(H117,H118,H119,H120,H121,H122,H123,H124,H125,H126,H127,H128,H130,H131,H132,H133,H134),0)</f>
        <v>708.74750000000006</v>
      </c>
      <c r="G115" s="54">
        <f>IFERROR(E115*'💰 고정비용 DB'!$D$22/'💰 고정비용 DB'!$D$25,0)</f>
        <v>6602.9706598008152</v>
      </c>
      <c r="H115" s="55">
        <f>IFERROR(G115-F115,"")</f>
        <v>5894.2231598008148</v>
      </c>
      <c r="I115" s="56">
        <f>IFERROR(H115/E115,"")</f>
        <v>0.58942231598008143</v>
      </c>
      <c r="J115" s="57" t="str">
        <f>IF(I115="","⬜ 미입력",IF(I115&lt;=0.2,"✅ 양호",IF(I115&lt;=0.32,"🟡 주의","🔴 과다")))</f>
        <v>🔴 과다</v>
      </c>
      <c r="K115" s="50"/>
    </row>
    <row r="116" spans="2:11" ht="12.75" customHeight="1">
      <c r="B116" s="204" t="s">
        <v>291</v>
      </c>
      <c r="C116" s="204"/>
      <c r="D116" s="204"/>
      <c r="E116" s="204"/>
      <c r="F116" s="204"/>
      <c r="G116" s="204"/>
      <c r="H116" s="204"/>
      <c r="I116" s="204"/>
      <c r="J116" s="204"/>
      <c r="K116" s="204"/>
    </row>
    <row r="117" spans="2:11" ht="16.5" customHeight="1">
      <c r="B117" s="58">
        <v>1</v>
      </c>
      <c r="C117" s="6" t="s">
        <v>368</v>
      </c>
      <c r="D117" s="59" t="s">
        <v>292</v>
      </c>
      <c r="E117" s="60">
        <v>450</v>
      </c>
      <c r="F117" s="61">
        <v>1</v>
      </c>
      <c r="G117" s="25" t="str">
        <f>IFERROR(VLOOKUP(C117,'🥬 식재료 DB'!$C$7:$H$121,6,0),"")</f>
        <v/>
      </c>
      <c r="H117" s="62" t="str">
        <f t="shared" ref="H117:H128" si="5">IFERROR(IF(AND(C117&lt;&gt;"",ISNUMBER(E117),ISNUMBER(F117),F117&gt;0,ISNUMBER(G117)),E117/F117*G117,""),"")</f>
        <v/>
      </c>
      <c r="I117" s="63"/>
      <c r="J117" s="63"/>
    </row>
    <row r="118" spans="2:11" ht="16.5" customHeight="1">
      <c r="B118" s="58">
        <v>2</v>
      </c>
      <c r="C118" s="106" t="s">
        <v>325</v>
      </c>
      <c r="D118" s="59" t="s">
        <v>292</v>
      </c>
      <c r="E118" s="103">
        <v>5</v>
      </c>
      <c r="F118" s="104">
        <v>1</v>
      </c>
      <c r="G118" s="25" t="str">
        <f>IFERROR(VLOOKUP(C118,'🥬 식재료 DB'!$C$7:$H$121,6,0),"")</f>
        <v/>
      </c>
      <c r="H118" s="62" t="str">
        <f t="shared" si="5"/>
        <v/>
      </c>
      <c r="I118" s="105"/>
      <c r="J118" s="105"/>
    </row>
    <row r="119" spans="2:11" ht="16.5" customHeight="1">
      <c r="B119" s="58">
        <v>3</v>
      </c>
      <c r="C119" s="6" t="s">
        <v>145</v>
      </c>
      <c r="D119" s="59" t="s">
        <v>292</v>
      </c>
      <c r="E119" s="60">
        <v>10</v>
      </c>
      <c r="F119" s="61">
        <v>1</v>
      </c>
      <c r="G119" s="25">
        <f>IFERROR(VLOOKUP(C119,'🥬 식재료 DB'!$C$7:$H$121,6,0),"")</f>
        <v>14</v>
      </c>
      <c r="H119" s="62">
        <f t="shared" si="5"/>
        <v>140</v>
      </c>
      <c r="I119" s="63"/>
      <c r="J119" s="63"/>
    </row>
    <row r="120" spans="2:11" ht="16.5" customHeight="1">
      <c r="B120" s="58">
        <v>4</v>
      </c>
      <c r="C120" s="102" t="s">
        <v>140</v>
      </c>
      <c r="D120" s="59" t="s">
        <v>292</v>
      </c>
      <c r="E120" s="103">
        <v>10</v>
      </c>
      <c r="F120" s="104">
        <v>1</v>
      </c>
      <c r="G120" s="25">
        <f>IFERROR(VLOOKUP(C120,'🥬 식재료 DB'!$C$7:$H$121,6,0),"")</f>
        <v>0.93333333333333335</v>
      </c>
      <c r="H120" s="62">
        <f t="shared" si="5"/>
        <v>9.3333333333333339</v>
      </c>
      <c r="I120" s="105"/>
      <c r="J120" s="105"/>
    </row>
    <row r="121" spans="2:11" ht="16.5" customHeight="1">
      <c r="B121" s="58">
        <v>5</v>
      </c>
      <c r="C121" s="6" t="s">
        <v>244</v>
      </c>
      <c r="D121" s="59" t="s">
        <v>292</v>
      </c>
      <c r="E121" s="60">
        <v>5</v>
      </c>
      <c r="F121" s="61">
        <v>1</v>
      </c>
      <c r="G121" s="25">
        <f>IFERROR(VLOOKUP(C121,'🥬 식재료 DB'!$C$7:$H$121,6,0),"")</f>
        <v>5.5</v>
      </c>
      <c r="H121" s="62">
        <f t="shared" si="5"/>
        <v>27.5</v>
      </c>
      <c r="I121" s="63"/>
      <c r="J121" s="63"/>
    </row>
    <row r="122" spans="2:11" ht="16.5" customHeight="1">
      <c r="B122" s="58">
        <v>6</v>
      </c>
      <c r="C122" s="102" t="s">
        <v>218</v>
      </c>
      <c r="D122" s="59" t="s">
        <v>292</v>
      </c>
      <c r="E122" s="103">
        <v>30</v>
      </c>
      <c r="F122" s="104">
        <v>1</v>
      </c>
      <c r="G122" s="25">
        <f>IFERROR(VLOOKUP(C122,'🥬 식재료 DB'!$C$7:$H$121,6,0),"")</f>
        <v>6.666666666666667</v>
      </c>
      <c r="H122" s="62">
        <f t="shared" si="5"/>
        <v>200</v>
      </c>
      <c r="I122" s="105"/>
      <c r="J122" s="105"/>
    </row>
    <row r="123" spans="2:11" ht="16.5" customHeight="1">
      <c r="B123" s="58">
        <v>7</v>
      </c>
      <c r="C123" s="6" t="s">
        <v>168</v>
      </c>
      <c r="D123" s="59" t="s">
        <v>292</v>
      </c>
      <c r="E123" s="60">
        <v>5</v>
      </c>
      <c r="F123" s="61">
        <v>1</v>
      </c>
      <c r="G123" s="25">
        <f>IFERROR(VLOOKUP(C123,'🥬 식재료 DB'!$C$7:$H$121,6,0),"")</f>
        <v>1</v>
      </c>
      <c r="H123" s="62">
        <f t="shared" si="5"/>
        <v>5</v>
      </c>
      <c r="I123" s="63"/>
      <c r="J123" s="63"/>
    </row>
    <row r="124" spans="2:11" ht="16.5" customHeight="1">
      <c r="B124" s="58">
        <v>8</v>
      </c>
      <c r="C124" s="102" t="s">
        <v>195</v>
      </c>
      <c r="D124" s="59" t="s">
        <v>292</v>
      </c>
      <c r="E124" s="103">
        <v>10</v>
      </c>
      <c r="F124" s="104">
        <v>1</v>
      </c>
      <c r="G124" s="25">
        <f>IFERROR(VLOOKUP(C124,'🥬 식재료 DB'!$C$7:$H$121,6,0),"")</f>
        <v>9</v>
      </c>
      <c r="H124" s="62">
        <f t="shared" si="5"/>
        <v>90</v>
      </c>
      <c r="I124" s="105"/>
      <c r="J124" s="105"/>
    </row>
    <row r="125" spans="2:11" ht="16.5" customHeight="1">
      <c r="B125" s="58">
        <v>9</v>
      </c>
      <c r="C125" s="68"/>
      <c r="D125" s="59" t="s">
        <v>292</v>
      </c>
      <c r="E125" s="69"/>
      <c r="F125" s="70"/>
      <c r="G125" s="25" t="str">
        <f>IFERROR(VLOOKUP(C125,'🥬 식재료 DB'!$C$7:$H$121,6,0),"")</f>
        <v/>
      </c>
      <c r="H125" s="62" t="str">
        <f t="shared" si="5"/>
        <v/>
      </c>
      <c r="I125" s="63"/>
      <c r="J125" s="63"/>
    </row>
    <row r="126" spans="2:11" ht="16.5" customHeight="1">
      <c r="B126" s="58">
        <v>10</v>
      </c>
      <c r="C126" s="68"/>
      <c r="D126" s="59" t="s">
        <v>292</v>
      </c>
      <c r="E126" s="69"/>
      <c r="F126" s="70"/>
      <c r="G126" s="25" t="str">
        <f>IFERROR(VLOOKUP(C126,'🥬 식재료 DB'!$C$7:$H$121,6,0),"")</f>
        <v/>
      </c>
      <c r="H126" s="62" t="str">
        <f t="shared" si="5"/>
        <v/>
      </c>
      <c r="I126" s="105"/>
      <c r="J126" s="105"/>
    </row>
    <row r="127" spans="2:11" ht="16.5" customHeight="1">
      <c r="B127" s="58">
        <v>11</v>
      </c>
      <c r="C127" s="68"/>
      <c r="D127" s="59" t="s">
        <v>292</v>
      </c>
      <c r="E127" s="69"/>
      <c r="F127" s="70"/>
      <c r="G127" s="25" t="str">
        <f>IFERROR(VLOOKUP(C127,'🥬 식재료 DB'!$C$7:$H$121,6,0),"")</f>
        <v/>
      </c>
      <c r="H127" s="62" t="str">
        <f t="shared" si="5"/>
        <v/>
      </c>
      <c r="I127" s="63"/>
      <c r="J127" s="63"/>
    </row>
    <row r="128" spans="2:11" ht="16.5" customHeight="1">
      <c r="B128" s="58">
        <v>12</v>
      </c>
      <c r="C128" s="68"/>
      <c r="D128" s="59" t="s">
        <v>292</v>
      </c>
      <c r="E128" s="69"/>
      <c r="F128" s="70"/>
      <c r="G128" s="25" t="str">
        <f>IFERROR(VLOOKUP(C128,'🥬 식재료 DB'!$C$7:$H$121,6,0),"")</f>
        <v/>
      </c>
      <c r="H128" s="62" t="str">
        <f t="shared" si="5"/>
        <v/>
      </c>
      <c r="I128" s="105"/>
      <c r="J128" s="105"/>
    </row>
    <row r="129" spans="2:11" ht="12.75" customHeight="1">
      <c r="B129" s="203" t="s">
        <v>293</v>
      </c>
      <c r="C129" s="203"/>
      <c r="D129" s="203"/>
      <c r="E129" s="203"/>
      <c r="F129" s="203"/>
      <c r="G129" s="203"/>
      <c r="H129" s="203"/>
      <c r="I129" s="203"/>
      <c r="J129" s="203"/>
      <c r="K129" s="203"/>
    </row>
    <row r="130" spans="2:11" ht="16.5" customHeight="1">
      <c r="B130" s="71">
        <v>13</v>
      </c>
      <c r="C130" s="6" t="s">
        <v>361</v>
      </c>
      <c r="D130" s="72" t="s">
        <v>295</v>
      </c>
      <c r="E130" s="60">
        <v>30</v>
      </c>
      <c r="F130" s="61">
        <v>1</v>
      </c>
      <c r="G130" s="73">
        <f>IFERROR(VLOOKUP(C130,'🧪 프렙 원가표'!$C$8:$D$18,2,0),IFERROR(VLOOKUP(C130,'🥬 식재료 DB'!$C$7:$H$121,6,0),""))</f>
        <v>7.8971388888888887</v>
      </c>
      <c r="H130" s="74">
        <f>IFERROR(IF(AND(C130&lt;&gt;"",ISNUMBER(E130),ISNUMBER(F130),F130&gt;0,ISNUMBER(G130)),E130/F130*G130,""),"")</f>
        <v>236.91416666666666</v>
      </c>
      <c r="I130" s="63"/>
      <c r="J130" s="63"/>
    </row>
    <row r="131" spans="2:11" ht="16.5" customHeight="1">
      <c r="B131" s="71">
        <v>14</v>
      </c>
      <c r="C131" s="68"/>
      <c r="D131" s="72" t="s">
        <v>295</v>
      </c>
      <c r="E131" s="69"/>
      <c r="F131" s="70"/>
      <c r="G131" s="73" t="str">
        <f>IFERROR(VLOOKUP(C131,'🧪 프렙 원가표'!$C$8:$D$18,2,0),IFERROR(VLOOKUP(C131,'🥬 식재료 DB'!$C$7:$H$121,6,0),""))</f>
        <v/>
      </c>
      <c r="H131" s="74" t="str">
        <f>IFERROR(IF(AND(C131&lt;&gt;"",ISNUMBER(E131),ISNUMBER(F131),F131&gt;0,ISNUMBER(G131)),E131/F131*G131,""),"")</f>
        <v/>
      </c>
      <c r="I131" s="77"/>
      <c r="J131" s="77"/>
    </row>
    <row r="132" spans="2:11" ht="16.5" customHeight="1">
      <c r="B132" s="71">
        <v>15</v>
      </c>
      <c r="C132" s="68"/>
      <c r="D132" s="72" t="s">
        <v>295</v>
      </c>
      <c r="E132" s="69"/>
      <c r="F132" s="70"/>
      <c r="G132" s="73" t="str">
        <f>IFERROR(VLOOKUP(C132,'🧪 프렙 원가표'!$C$8:$D$18,2,0),IFERROR(VLOOKUP(C132,'🥬 식재료 DB'!$C$7:$H$121,6,0),""))</f>
        <v/>
      </c>
      <c r="H132" s="74" t="str">
        <f>IFERROR(IF(AND(C132&lt;&gt;"",ISNUMBER(E132),ISNUMBER(F132),F132&gt;0,ISNUMBER(G132)),E132/F132*G132,""),"")</f>
        <v/>
      </c>
      <c r="I132" s="63"/>
      <c r="J132" s="63"/>
    </row>
    <row r="133" spans="2:11" ht="16.5" customHeight="1">
      <c r="B133" s="71">
        <v>16</v>
      </c>
      <c r="C133" s="68"/>
      <c r="D133" s="72" t="s">
        <v>295</v>
      </c>
      <c r="E133" s="69"/>
      <c r="F133" s="70"/>
      <c r="G133" s="73" t="str">
        <f>IFERROR(VLOOKUP(C133,'🧪 프렙 원가표'!$C$8:$D$18,2,0),IFERROR(VLOOKUP(C133,'🥬 식재료 DB'!$C$7:$H$121,6,0),""))</f>
        <v/>
      </c>
      <c r="H133" s="74" t="str">
        <f>IFERROR(IF(AND(C133&lt;&gt;"",ISNUMBER(E133),ISNUMBER(F133),F133&gt;0,ISNUMBER(G133)),E133/F133*G133,""),"")</f>
        <v/>
      </c>
      <c r="I133" s="77"/>
      <c r="J133" s="77"/>
    </row>
    <row r="134" spans="2:11" ht="16.5" customHeight="1">
      <c r="B134" s="71">
        <v>17</v>
      </c>
      <c r="C134" s="68"/>
      <c r="D134" s="72" t="s">
        <v>295</v>
      </c>
      <c r="E134" s="69"/>
      <c r="F134" s="70"/>
      <c r="G134" s="73" t="str">
        <f>IFERROR(VLOOKUP(C134,'🧪 프렙 원가표'!$C$8:$D$18,2,0),IFERROR(VLOOKUP(C134,'🥬 식재료 DB'!$C$7:$H$121,6,0),""))</f>
        <v/>
      </c>
      <c r="H134" s="74" t="str">
        <f>IFERROR(IF(AND(C134&lt;&gt;"",ISNUMBER(E134),ISNUMBER(F134),F134&gt;0,ISNUMBER(G134)),E134/F134*G134,""),"")</f>
        <v/>
      </c>
      <c r="I134" s="63"/>
      <c r="J134" s="63"/>
    </row>
    <row r="135" spans="2:11" ht="3.75" customHeight="1">
      <c r="B135" s="78"/>
      <c r="C135" s="78"/>
      <c r="D135" s="78"/>
      <c r="E135" s="78"/>
      <c r="F135" s="78"/>
      <c r="G135" s="78"/>
      <c r="H135" s="78"/>
      <c r="I135" s="78"/>
      <c r="J135" s="78"/>
      <c r="K135" s="78"/>
    </row>
    <row r="136" spans="2:11" ht="27" customHeight="1">
      <c r="B136" s="50"/>
      <c r="C136" s="51" t="s">
        <v>371</v>
      </c>
      <c r="D136" s="50"/>
      <c r="E136" s="52">
        <v>19000</v>
      </c>
      <c r="F136" s="53">
        <f>IFERROR(SUM(H138,H139,H140,H141,H142,H143,H144,H145,H146,H147,H148,H149,H151,H152,H153,H154,H155),0)</f>
        <v>936.69027777777774</v>
      </c>
      <c r="G136" s="54">
        <f>IFERROR(E136*'💰 고정비용 DB'!$D$22/'💰 고정비용 DB'!$D$25,0)</f>
        <v>12545.644253621549</v>
      </c>
      <c r="H136" s="55">
        <f>IFERROR(G136-F136,"")</f>
        <v>11608.953975843771</v>
      </c>
      <c r="I136" s="56">
        <f>IFERROR(H136/E136,"")</f>
        <v>0.61099757767598795</v>
      </c>
      <c r="J136" s="57" t="str">
        <f>IF(I136="","⬜ 미입력",IF(I136&lt;=0.2,"✅ 양호",IF(I136&lt;=0.32,"🟡 주의","🔴 과다")))</f>
        <v>🔴 과다</v>
      </c>
      <c r="K136" s="50"/>
    </row>
    <row r="137" spans="2:11" ht="12.75" customHeight="1">
      <c r="B137" s="204" t="s">
        <v>291</v>
      </c>
      <c r="C137" s="204"/>
      <c r="D137" s="204"/>
      <c r="E137" s="204"/>
      <c r="F137" s="204"/>
      <c r="G137" s="204"/>
      <c r="H137" s="204"/>
      <c r="I137" s="204"/>
      <c r="J137" s="204"/>
      <c r="K137" s="204"/>
    </row>
    <row r="138" spans="2:11" ht="16.5" customHeight="1">
      <c r="B138" s="58">
        <v>1</v>
      </c>
      <c r="C138" s="6" t="s">
        <v>368</v>
      </c>
      <c r="D138" s="59" t="s">
        <v>292</v>
      </c>
      <c r="E138" s="60">
        <v>900</v>
      </c>
      <c r="F138" s="61">
        <v>1</v>
      </c>
      <c r="G138" s="25" t="str">
        <f>IFERROR(VLOOKUP(C138,'🥬 식재료 DB'!$C$7:$H$121,6,0),"")</f>
        <v/>
      </c>
      <c r="H138" s="62" t="str">
        <f t="shared" ref="H138:H149" si="6">IFERROR(IF(AND(C138&lt;&gt;"",ISNUMBER(E138),ISNUMBER(F138),F138&gt;0,ISNUMBER(G138)),E138/F138*G138,""),"")</f>
        <v/>
      </c>
      <c r="I138" s="63"/>
      <c r="J138" s="63"/>
    </row>
    <row r="139" spans="2:11" ht="16.5" customHeight="1">
      <c r="B139" s="58">
        <v>2</v>
      </c>
      <c r="C139" s="106" t="s">
        <v>325</v>
      </c>
      <c r="D139" s="59" t="s">
        <v>292</v>
      </c>
      <c r="E139" s="103">
        <v>5</v>
      </c>
      <c r="F139" s="104">
        <v>1</v>
      </c>
      <c r="G139" s="25" t="str">
        <f>IFERROR(VLOOKUP(C139,'🥬 식재료 DB'!$C$7:$H$121,6,0),"")</f>
        <v/>
      </c>
      <c r="H139" s="62" t="str">
        <f t="shared" si="6"/>
        <v/>
      </c>
      <c r="I139" s="105"/>
      <c r="J139" s="105"/>
    </row>
    <row r="140" spans="2:11" ht="16.5" customHeight="1">
      <c r="B140" s="58">
        <v>3</v>
      </c>
      <c r="C140" s="6" t="s">
        <v>145</v>
      </c>
      <c r="D140" s="59" t="s">
        <v>292</v>
      </c>
      <c r="E140" s="60">
        <v>15</v>
      </c>
      <c r="F140" s="61">
        <v>1</v>
      </c>
      <c r="G140" s="25">
        <f>IFERROR(VLOOKUP(C140,'🥬 식재료 DB'!$C$7:$H$121,6,0),"")</f>
        <v>14</v>
      </c>
      <c r="H140" s="62">
        <f t="shared" si="6"/>
        <v>210</v>
      </c>
      <c r="I140" s="63"/>
      <c r="J140" s="63"/>
    </row>
    <row r="141" spans="2:11" ht="16.5" customHeight="1">
      <c r="B141" s="58">
        <v>4</v>
      </c>
      <c r="C141" s="102" t="s">
        <v>218</v>
      </c>
      <c r="D141" s="59" t="s">
        <v>292</v>
      </c>
      <c r="E141" s="103">
        <v>30</v>
      </c>
      <c r="F141" s="104">
        <v>1</v>
      </c>
      <c r="G141" s="25">
        <f>IFERROR(VLOOKUP(C141,'🥬 식재료 DB'!$C$7:$H$121,6,0),"")</f>
        <v>6.666666666666667</v>
      </c>
      <c r="H141" s="62">
        <f t="shared" si="6"/>
        <v>200</v>
      </c>
      <c r="I141" s="105"/>
      <c r="J141" s="105"/>
    </row>
    <row r="142" spans="2:11" ht="16.5" customHeight="1">
      <c r="B142" s="58">
        <v>5</v>
      </c>
      <c r="C142" s="6" t="s">
        <v>140</v>
      </c>
      <c r="D142" s="59" t="s">
        <v>292</v>
      </c>
      <c r="E142" s="60">
        <v>10</v>
      </c>
      <c r="F142" s="61">
        <v>1</v>
      </c>
      <c r="G142" s="25">
        <f>IFERROR(VLOOKUP(C142,'🥬 식재료 DB'!$C$7:$H$121,6,0),"")</f>
        <v>0.93333333333333335</v>
      </c>
      <c r="H142" s="62">
        <f t="shared" si="6"/>
        <v>9.3333333333333339</v>
      </c>
      <c r="I142" s="63"/>
      <c r="J142" s="63"/>
    </row>
    <row r="143" spans="2:11" ht="16.5" customHeight="1">
      <c r="B143" s="58">
        <v>6</v>
      </c>
      <c r="C143" s="102" t="s">
        <v>244</v>
      </c>
      <c r="D143" s="59" t="s">
        <v>292</v>
      </c>
      <c r="E143" s="103">
        <v>5</v>
      </c>
      <c r="F143" s="104">
        <v>1</v>
      </c>
      <c r="G143" s="25">
        <f>IFERROR(VLOOKUP(C143,'🥬 식재료 DB'!$C$7:$H$121,6,0),"")</f>
        <v>5.5</v>
      </c>
      <c r="H143" s="62">
        <f t="shared" si="6"/>
        <v>27.5</v>
      </c>
      <c r="I143" s="105"/>
      <c r="J143" s="105"/>
    </row>
    <row r="144" spans="2:11" ht="16.5" customHeight="1">
      <c r="B144" s="58">
        <v>7</v>
      </c>
      <c r="C144" s="6" t="s">
        <v>168</v>
      </c>
      <c r="D144" s="59" t="s">
        <v>292</v>
      </c>
      <c r="E144" s="60">
        <v>5</v>
      </c>
      <c r="F144" s="61">
        <v>1</v>
      </c>
      <c r="G144" s="25">
        <f>IFERROR(VLOOKUP(C144,'🥬 식재료 DB'!$C$7:$H$121,6,0),"")</f>
        <v>1</v>
      </c>
      <c r="H144" s="62">
        <f t="shared" si="6"/>
        <v>5</v>
      </c>
      <c r="I144" s="63"/>
      <c r="J144" s="63"/>
    </row>
    <row r="145" spans="2:11" ht="16.5" customHeight="1">
      <c r="B145" s="58">
        <v>8</v>
      </c>
      <c r="C145" s="102" t="s">
        <v>195</v>
      </c>
      <c r="D145" s="59" t="s">
        <v>292</v>
      </c>
      <c r="E145" s="103">
        <v>10</v>
      </c>
      <c r="F145" s="104">
        <v>1</v>
      </c>
      <c r="G145" s="25">
        <f>IFERROR(VLOOKUP(C145,'🥬 식재료 DB'!$C$7:$H$121,6,0),"")</f>
        <v>9</v>
      </c>
      <c r="H145" s="62">
        <f t="shared" si="6"/>
        <v>90</v>
      </c>
      <c r="I145" s="105"/>
      <c r="J145" s="105"/>
    </row>
    <row r="146" spans="2:11" ht="16.5" customHeight="1">
      <c r="B146" s="58">
        <v>9</v>
      </c>
      <c r="C146" s="68"/>
      <c r="D146" s="59" t="s">
        <v>292</v>
      </c>
      <c r="E146" s="69"/>
      <c r="F146" s="70"/>
      <c r="G146" s="25" t="str">
        <f>IFERROR(VLOOKUP(C146,'🥬 식재료 DB'!$C$7:$H$121,6,0),"")</f>
        <v/>
      </c>
      <c r="H146" s="62" t="str">
        <f t="shared" si="6"/>
        <v/>
      </c>
      <c r="I146" s="63"/>
      <c r="J146" s="63"/>
    </row>
    <row r="147" spans="2:11" ht="16.5" customHeight="1">
      <c r="B147" s="58">
        <v>10</v>
      </c>
      <c r="C147" s="68"/>
      <c r="D147" s="59" t="s">
        <v>292</v>
      </c>
      <c r="E147" s="69"/>
      <c r="F147" s="70"/>
      <c r="G147" s="25" t="str">
        <f>IFERROR(VLOOKUP(C147,'🥬 식재료 DB'!$C$7:$H$121,6,0),"")</f>
        <v/>
      </c>
      <c r="H147" s="62" t="str">
        <f t="shared" si="6"/>
        <v/>
      </c>
      <c r="I147" s="105"/>
      <c r="J147" s="105"/>
    </row>
    <row r="148" spans="2:11" ht="16.5" customHeight="1">
      <c r="B148" s="58">
        <v>11</v>
      </c>
      <c r="C148" s="68"/>
      <c r="D148" s="59" t="s">
        <v>292</v>
      </c>
      <c r="E148" s="69"/>
      <c r="F148" s="70"/>
      <c r="G148" s="25" t="str">
        <f>IFERROR(VLOOKUP(C148,'🥬 식재료 DB'!$C$7:$H$121,6,0),"")</f>
        <v/>
      </c>
      <c r="H148" s="62" t="str">
        <f t="shared" si="6"/>
        <v/>
      </c>
      <c r="I148" s="63"/>
      <c r="J148" s="63"/>
    </row>
    <row r="149" spans="2:11" ht="16.5" customHeight="1">
      <c r="B149" s="58">
        <v>12</v>
      </c>
      <c r="C149" s="68"/>
      <c r="D149" s="59" t="s">
        <v>292</v>
      </c>
      <c r="E149" s="69"/>
      <c r="F149" s="70"/>
      <c r="G149" s="25" t="str">
        <f>IFERROR(VLOOKUP(C149,'🥬 식재료 DB'!$C$7:$H$121,6,0),"")</f>
        <v/>
      </c>
      <c r="H149" s="62" t="str">
        <f t="shared" si="6"/>
        <v/>
      </c>
      <c r="I149" s="105"/>
      <c r="J149" s="105"/>
    </row>
    <row r="150" spans="2:11" ht="12.75" customHeight="1">
      <c r="B150" s="203" t="s">
        <v>293</v>
      </c>
      <c r="C150" s="203"/>
      <c r="D150" s="203"/>
      <c r="E150" s="203"/>
      <c r="F150" s="203"/>
      <c r="G150" s="203"/>
      <c r="H150" s="203"/>
      <c r="I150" s="203"/>
      <c r="J150" s="203"/>
      <c r="K150" s="203"/>
    </row>
    <row r="151" spans="2:11" ht="16.5" customHeight="1">
      <c r="B151" s="71">
        <v>13</v>
      </c>
      <c r="C151" s="6" t="s">
        <v>361</v>
      </c>
      <c r="D151" s="72" t="s">
        <v>295</v>
      </c>
      <c r="E151" s="60">
        <v>50</v>
      </c>
      <c r="F151" s="61">
        <v>1</v>
      </c>
      <c r="G151" s="73">
        <f>IFERROR(VLOOKUP(C151,'🧪 프렙 원가표'!$C$8:$D$18,2,0),IFERROR(VLOOKUP(C151,'🥬 식재료 DB'!$C$7:$H$121,6,0),""))</f>
        <v>7.8971388888888887</v>
      </c>
      <c r="H151" s="74">
        <f>IFERROR(IF(AND(C151&lt;&gt;"",ISNUMBER(E151),ISNUMBER(F151),F151&gt;0,ISNUMBER(G151)),E151/F151*G151,""),"")</f>
        <v>394.85694444444442</v>
      </c>
      <c r="I151" s="63"/>
      <c r="J151" s="63"/>
    </row>
    <row r="152" spans="2:11" ht="16.5" customHeight="1">
      <c r="B152" s="71">
        <v>14</v>
      </c>
      <c r="C152" s="68"/>
      <c r="D152" s="72" t="s">
        <v>295</v>
      </c>
      <c r="E152" s="69"/>
      <c r="F152" s="70"/>
      <c r="G152" s="73" t="str">
        <f>IFERROR(VLOOKUP(C152,'🧪 프렙 원가표'!$C$8:$D$18,2,0),IFERROR(VLOOKUP(C152,'🥬 식재료 DB'!$C$7:$H$121,6,0),""))</f>
        <v/>
      </c>
      <c r="H152" s="74" t="str">
        <f>IFERROR(IF(AND(C152&lt;&gt;"",ISNUMBER(E152),ISNUMBER(F152),F152&gt;0,ISNUMBER(G152)),E152/F152*G152,""),"")</f>
        <v/>
      </c>
      <c r="I152" s="77"/>
      <c r="J152" s="77"/>
    </row>
    <row r="153" spans="2:11" ht="16.5" customHeight="1">
      <c r="B153" s="71">
        <v>15</v>
      </c>
      <c r="C153" s="68"/>
      <c r="D153" s="72" t="s">
        <v>295</v>
      </c>
      <c r="E153" s="69"/>
      <c r="F153" s="70"/>
      <c r="G153" s="73" t="str">
        <f>IFERROR(VLOOKUP(C153,'🧪 프렙 원가표'!$C$8:$D$18,2,0),IFERROR(VLOOKUP(C153,'🥬 식재료 DB'!$C$7:$H$121,6,0),""))</f>
        <v/>
      </c>
      <c r="H153" s="74" t="str">
        <f>IFERROR(IF(AND(C153&lt;&gt;"",ISNUMBER(E153),ISNUMBER(F153),F153&gt;0,ISNUMBER(G153)),E153/F153*G153,""),"")</f>
        <v/>
      </c>
      <c r="I153" s="63"/>
      <c r="J153" s="63"/>
    </row>
    <row r="154" spans="2:11" ht="16.5" customHeight="1">
      <c r="B154" s="71">
        <v>16</v>
      </c>
      <c r="C154" s="68"/>
      <c r="D154" s="72" t="s">
        <v>295</v>
      </c>
      <c r="E154" s="69"/>
      <c r="F154" s="70"/>
      <c r="G154" s="73" t="str">
        <f>IFERROR(VLOOKUP(C154,'🧪 프렙 원가표'!$C$8:$D$18,2,0),IFERROR(VLOOKUP(C154,'🥬 식재료 DB'!$C$7:$H$121,6,0),""))</f>
        <v/>
      </c>
      <c r="H154" s="74" t="str">
        <f>IFERROR(IF(AND(C154&lt;&gt;"",ISNUMBER(E154),ISNUMBER(F154),F154&gt;0,ISNUMBER(G154)),E154/F154*G154,""),"")</f>
        <v/>
      </c>
      <c r="I154" s="77"/>
      <c r="J154" s="77"/>
    </row>
    <row r="155" spans="2:11" ht="16.5" customHeight="1">
      <c r="B155" s="71">
        <v>17</v>
      </c>
      <c r="C155" s="68"/>
      <c r="D155" s="72" t="s">
        <v>295</v>
      </c>
      <c r="E155" s="69"/>
      <c r="F155" s="70"/>
      <c r="G155" s="73" t="str">
        <f>IFERROR(VLOOKUP(C155,'🧪 프렙 원가표'!$C$8:$D$18,2,0),IFERROR(VLOOKUP(C155,'🥬 식재료 DB'!$C$7:$H$121,6,0),""))</f>
        <v/>
      </c>
      <c r="H155" s="74" t="str">
        <f>IFERROR(IF(AND(C155&lt;&gt;"",ISNUMBER(E155),ISNUMBER(F155),F155&gt;0,ISNUMBER(G155)),E155/F155*G155,""),"")</f>
        <v/>
      </c>
      <c r="I155" s="63"/>
      <c r="J155" s="63"/>
    </row>
    <row r="156" spans="2:11" ht="3.75" customHeight="1">
      <c r="B156" s="78"/>
      <c r="C156" s="78"/>
      <c r="D156" s="78"/>
      <c r="E156" s="78"/>
      <c r="F156" s="78"/>
      <c r="G156" s="78"/>
      <c r="H156" s="78"/>
      <c r="I156" s="78"/>
      <c r="J156" s="78"/>
      <c r="K156" s="78"/>
    </row>
    <row r="157" spans="2:11" ht="27" customHeight="1">
      <c r="B157" s="50"/>
      <c r="C157" s="51" t="s">
        <v>372</v>
      </c>
      <c r="D157" s="50"/>
      <c r="E157" s="52">
        <v>18000</v>
      </c>
      <c r="F157" s="53">
        <f>IFERROR(SUM(H159,H160,H161,H162,H163,H164,H165,H166,H167,H168,H169,H170,H172,H173,H174,H175,H176),0)</f>
        <v>2447.7777777777778</v>
      </c>
      <c r="G157" s="54">
        <f>IFERROR(E157*'💰 고정비용 DB'!$D$22/'💰 고정비용 DB'!$D$25,0)</f>
        <v>11885.347187641466</v>
      </c>
      <c r="H157" s="55">
        <f>IFERROR(G157-F157,"")</f>
        <v>9437.5694098636886</v>
      </c>
      <c r="I157" s="56">
        <f>IFERROR(H157/E157,"")</f>
        <v>0.52430941165909384</v>
      </c>
      <c r="J157" s="57" t="str">
        <f>IF(I157="","⬜ 미입력",IF(I157&lt;=0.2,"✅ 양호",IF(I157&lt;=0.32,"🟡 주의","🔴 과다")))</f>
        <v>🔴 과다</v>
      </c>
      <c r="K157" s="50"/>
    </row>
    <row r="158" spans="2:11" ht="12.75" customHeight="1">
      <c r="B158" s="204" t="s">
        <v>291</v>
      </c>
      <c r="C158" s="204"/>
      <c r="D158" s="204"/>
      <c r="E158" s="204"/>
      <c r="F158" s="204"/>
      <c r="G158" s="204"/>
      <c r="H158" s="204"/>
      <c r="I158" s="204"/>
      <c r="J158" s="204"/>
      <c r="K158" s="204"/>
    </row>
    <row r="159" spans="2:11" ht="16.5" customHeight="1">
      <c r="B159" s="58">
        <v>1</v>
      </c>
      <c r="C159" s="6" t="s">
        <v>200</v>
      </c>
      <c r="D159" s="59" t="s">
        <v>292</v>
      </c>
      <c r="E159" s="60">
        <v>300</v>
      </c>
      <c r="F159" s="61">
        <v>1</v>
      </c>
      <c r="G159" s="25">
        <f>IFERROR(VLOOKUP(C159,'🥬 식재료 DB'!$C$7:$H$121,6,0),"")</f>
        <v>5</v>
      </c>
      <c r="H159" s="62">
        <f t="shared" ref="H159:H170" si="7">IFERROR(IF(AND(C159&lt;&gt;"",ISNUMBER(E159),ISNUMBER(F159),F159&gt;0,ISNUMBER(G159)),E159/F159*G159,""),"")</f>
        <v>1500</v>
      </c>
      <c r="I159" s="63"/>
      <c r="J159" s="63"/>
    </row>
    <row r="160" spans="2:11" ht="16.5" customHeight="1">
      <c r="B160" s="58">
        <v>2</v>
      </c>
      <c r="C160" s="102" t="s">
        <v>168</v>
      </c>
      <c r="D160" s="59" t="s">
        <v>292</v>
      </c>
      <c r="E160" s="103">
        <v>5</v>
      </c>
      <c r="F160" s="104">
        <v>1</v>
      </c>
      <c r="G160" s="25">
        <f>IFERROR(VLOOKUP(C160,'🥬 식재료 DB'!$C$7:$H$121,6,0),"")</f>
        <v>1</v>
      </c>
      <c r="H160" s="62">
        <f t="shared" si="7"/>
        <v>5</v>
      </c>
      <c r="I160" s="105"/>
      <c r="J160" s="105"/>
    </row>
    <row r="161" spans="2:11" ht="16.5" customHeight="1">
      <c r="B161" s="58">
        <v>3</v>
      </c>
      <c r="C161" s="6" t="s">
        <v>146</v>
      </c>
      <c r="D161" s="59" t="s">
        <v>292</v>
      </c>
      <c r="E161" s="60">
        <v>10</v>
      </c>
      <c r="F161" s="61">
        <v>1</v>
      </c>
      <c r="G161" s="25">
        <f>IFERROR(VLOOKUP(C161,'🥬 식재료 DB'!$C$7:$H$121,6,0),"")</f>
        <v>18</v>
      </c>
      <c r="H161" s="62">
        <f t="shared" si="7"/>
        <v>180</v>
      </c>
      <c r="I161" s="63"/>
      <c r="J161" s="63"/>
    </row>
    <row r="162" spans="2:11" ht="16.5" customHeight="1">
      <c r="B162" s="58">
        <v>4</v>
      </c>
      <c r="C162" s="106" t="s">
        <v>174</v>
      </c>
      <c r="D162" s="59" t="s">
        <v>292</v>
      </c>
      <c r="E162" s="103">
        <v>5</v>
      </c>
      <c r="F162" s="104">
        <v>1</v>
      </c>
      <c r="G162" s="25">
        <f>IFERROR(VLOOKUP(C162,'🥬 식재료 DB'!$C$7:$H$121,6,0),"")</f>
        <v>22.5</v>
      </c>
      <c r="H162" s="62">
        <f t="shared" si="7"/>
        <v>112.5</v>
      </c>
      <c r="I162" s="105"/>
      <c r="J162" s="105"/>
    </row>
    <row r="163" spans="2:11" ht="16.5" customHeight="1">
      <c r="B163" s="58">
        <v>5</v>
      </c>
      <c r="C163" s="6" t="s">
        <v>228</v>
      </c>
      <c r="D163" s="59" t="s">
        <v>292</v>
      </c>
      <c r="E163" s="60">
        <v>5</v>
      </c>
      <c r="F163" s="61">
        <v>1</v>
      </c>
      <c r="G163" s="25">
        <f>IFERROR(VLOOKUP(C163,'🥬 식재료 DB'!$C$7:$H$121,6,0),"")</f>
        <v>19</v>
      </c>
      <c r="H163" s="62">
        <f t="shared" si="7"/>
        <v>95</v>
      </c>
      <c r="I163" s="63"/>
      <c r="J163" s="63"/>
    </row>
    <row r="164" spans="2:11" ht="16.5" customHeight="1">
      <c r="B164" s="58">
        <v>6</v>
      </c>
      <c r="C164" s="102" t="s">
        <v>191</v>
      </c>
      <c r="D164" s="59" t="s">
        <v>292</v>
      </c>
      <c r="E164" s="103">
        <v>5</v>
      </c>
      <c r="F164" s="104">
        <v>1</v>
      </c>
      <c r="G164" s="25">
        <f>IFERROR(VLOOKUP(C164,'🥬 식재료 DB'!$C$7:$H$121,6,0),"")</f>
        <v>2.75</v>
      </c>
      <c r="H164" s="62">
        <f t="shared" si="7"/>
        <v>13.75</v>
      </c>
      <c r="I164" s="105"/>
      <c r="J164" s="105"/>
    </row>
    <row r="165" spans="2:11" ht="16.5" customHeight="1">
      <c r="B165" s="58">
        <v>7</v>
      </c>
      <c r="C165" s="6" t="s">
        <v>236</v>
      </c>
      <c r="D165" s="59" t="s">
        <v>292</v>
      </c>
      <c r="E165" s="60">
        <v>30</v>
      </c>
      <c r="F165" s="61">
        <v>1</v>
      </c>
      <c r="G165" s="25">
        <f>IFERROR(VLOOKUP(C165,'🥬 식재료 DB'!$C$7:$H$121,6,0),"")</f>
        <v>14</v>
      </c>
      <c r="H165" s="62">
        <f t="shared" si="7"/>
        <v>420</v>
      </c>
      <c r="I165" s="63"/>
      <c r="J165" s="63"/>
    </row>
    <row r="166" spans="2:11" ht="16.5" customHeight="1">
      <c r="B166" s="58">
        <v>8</v>
      </c>
      <c r="C166" s="68"/>
      <c r="D166" s="59" t="s">
        <v>292</v>
      </c>
      <c r="E166" s="69"/>
      <c r="F166" s="70"/>
      <c r="G166" s="25" t="str">
        <f>IFERROR(VLOOKUP(C166,'🥬 식재료 DB'!$C$7:$H$121,6,0),"")</f>
        <v/>
      </c>
      <c r="H166" s="62" t="str">
        <f t="shared" si="7"/>
        <v/>
      </c>
      <c r="I166" s="105"/>
      <c r="J166" s="105"/>
    </row>
    <row r="167" spans="2:11" ht="16.5" customHeight="1">
      <c r="B167" s="58">
        <v>9</v>
      </c>
      <c r="C167" s="68"/>
      <c r="D167" s="59" t="s">
        <v>292</v>
      </c>
      <c r="E167" s="69"/>
      <c r="F167" s="70"/>
      <c r="G167" s="25" t="str">
        <f>IFERROR(VLOOKUP(C167,'🥬 식재료 DB'!$C$7:$H$121,6,0),"")</f>
        <v/>
      </c>
      <c r="H167" s="62" t="str">
        <f t="shared" si="7"/>
        <v/>
      </c>
      <c r="I167" s="63"/>
      <c r="J167" s="63"/>
    </row>
    <row r="168" spans="2:11" ht="16.5" customHeight="1">
      <c r="B168" s="58">
        <v>10</v>
      </c>
      <c r="C168" s="68"/>
      <c r="D168" s="59" t="s">
        <v>292</v>
      </c>
      <c r="E168" s="69"/>
      <c r="F168" s="70"/>
      <c r="G168" s="25" t="str">
        <f>IFERROR(VLOOKUP(C168,'🥬 식재료 DB'!$C$7:$H$121,6,0),"")</f>
        <v/>
      </c>
      <c r="H168" s="62" t="str">
        <f t="shared" si="7"/>
        <v/>
      </c>
      <c r="I168" s="105"/>
      <c r="J168" s="105"/>
    </row>
    <row r="169" spans="2:11" ht="16.5" customHeight="1">
      <c r="B169" s="58">
        <v>11</v>
      </c>
      <c r="C169" s="68"/>
      <c r="D169" s="59" t="s">
        <v>292</v>
      </c>
      <c r="E169" s="69"/>
      <c r="F169" s="70"/>
      <c r="G169" s="25" t="str">
        <f>IFERROR(VLOOKUP(C169,'🥬 식재료 DB'!$C$7:$H$121,6,0),"")</f>
        <v/>
      </c>
      <c r="H169" s="62" t="str">
        <f t="shared" si="7"/>
        <v/>
      </c>
      <c r="I169" s="63"/>
      <c r="J169" s="63"/>
    </row>
    <row r="170" spans="2:11" ht="16.5" customHeight="1">
      <c r="B170" s="58">
        <v>12</v>
      </c>
      <c r="C170" s="68"/>
      <c r="D170" s="59" t="s">
        <v>292</v>
      </c>
      <c r="E170" s="69"/>
      <c r="F170" s="70"/>
      <c r="G170" s="25" t="str">
        <f>IFERROR(VLOOKUP(C170,'🥬 식재료 DB'!$C$7:$H$121,6,0),"")</f>
        <v/>
      </c>
      <c r="H170" s="62" t="str">
        <f t="shared" si="7"/>
        <v/>
      </c>
      <c r="I170" s="105"/>
      <c r="J170" s="105"/>
    </row>
    <row r="171" spans="2:11" ht="12.75" customHeight="1">
      <c r="B171" s="203" t="s">
        <v>293</v>
      </c>
      <c r="C171" s="203"/>
      <c r="D171" s="203"/>
      <c r="E171" s="203"/>
      <c r="F171" s="203"/>
      <c r="G171" s="203"/>
      <c r="H171" s="203"/>
      <c r="I171" s="203"/>
      <c r="J171" s="203"/>
      <c r="K171" s="203"/>
    </row>
    <row r="172" spans="2:11" ht="16.5" customHeight="1">
      <c r="B172" s="71">
        <v>13</v>
      </c>
      <c r="C172" s="6" t="s">
        <v>309</v>
      </c>
      <c r="D172" s="72" t="s">
        <v>295</v>
      </c>
      <c r="E172" s="60">
        <v>10</v>
      </c>
      <c r="F172" s="61">
        <v>1</v>
      </c>
      <c r="G172" s="73">
        <f>IFERROR(VLOOKUP(C172,'🧪 프렙 원가표'!$C$8:$D$18,2,0),IFERROR(VLOOKUP(C172,'🥬 식재료 DB'!$C$7:$H$121,6,0),""))</f>
        <v>10.555555555555555</v>
      </c>
      <c r="H172" s="74">
        <f>IFERROR(IF(AND(C172&lt;&gt;"",ISNUMBER(E172),ISNUMBER(F172),F172&gt;0,ISNUMBER(G172)),E172/F172*G172,""),"")</f>
        <v>105.55555555555556</v>
      </c>
      <c r="I172" s="63"/>
      <c r="J172" s="63"/>
    </row>
    <row r="173" spans="2:11" ht="16.5" customHeight="1">
      <c r="B173" s="71">
        <v>14</v>
      </c>
      <c r="C173" s="12" t="s">
        <v>312</v>
      </c>
      <c r="D173" s="72" t="s">
        <v>295</v>
      </c>
      <c r="E173" s="75">
        <v>10</v>
      </c>
      <c r="F173" s="76">
        <v>1</v>
      </c>
      <c r="G173" s="73">
        <f>IFERROR(VLOOKUP(C173,'🧪 프렙 원가표'!$C$8:$D$18,2,0),IFERROR(VLOOKUP(C173,'🥬 식재료 DB'!$C$7:$H$121,6,0),""))</f>
        <v>1.5972222222222221</v>
      </c>
      <c r="H173" s="74">
        <f>IFERROR(IF(AND(C173&lt;&gt;"",ISNUMBER(E173),ISNUMBER(F173),F173&gt;0,ISNUMBER(G173)),E173/F173*G173,""),"")</f>
        <v>15.972222222222221</v>
      </c>
      <c r="I173" s="77"/>
      <c r="J173" s="77"/>
    </row>
    <row r="174" spans="2:11" ht="16.5" customHeight="1">
      <c r="B174" s="71">
        <v>15</v>
      </c>
      <c r="C174" s="68"/>
      <c r="D174" s="72" t="s">
        <v>295</v>
      </c>
      <c r="E174" s="69"/>
      <c r="F174" s="70"/>
      <c r="G174" s="73" t="str">
        <f>IFERROR(VLOOKUP(C174,'🧪 프렙 원가표'!$C$8:$D$18,2,0),IFERROR(VLOOKUP(C174,'🥬 식재료 DB'!$C$7:$H$121,6,0),""))</f>
        <v/>
      </c>
      <c r="H174" s="74" t="str">
        <f>IFERROR(IF(AND(C174&lt;&gt;"",ISNUMBER(E174),ISNUMBER(F174),F174&gt;0,ISNUMBER(G174)),E174/F174*G174,""),"")</f>
        <v/>
      </c>
      <c r="I174" s="63"/>
      <c r="J174" s="63"/>
    </row>
    <row r="175" spans="2:11" ht="16.5" customHeight="1">
      <c r="B175" s="71">
        <v>16</v>
      </c>
      <c r="C175" s="68"/>
      <c r="D175" s="72" t="s">
        <v>295</v>
      </c>
      <c r="E175" s="69"/>
      <c r="F175" s="70"/>
      <c r="G175" s="73" t="str">
        <f>IFERROR(VLOOKUP(C175,'🧪 프렙 원가표'!$C$8:$D$18,2,0),IFERROR(VLOOKUP(C175,'🥬 식재료 DB'!$C$7:$H$121,6,0),""))</f>
        <v/>
      </c>
      <c r="H175" s="74" t="str">
        <f>IFERROR(IF(AND(C175&lt;&gt;"",ISNUMBER(E175),ISNUMBER(F175),F175&gt;0,ISNUMBER(G175)),E175/F175*G175,""),"")</f>
        <v/>
      </c>
      <c r="I175" s="77"/>
      <c r="J175" s="77"/>
    </row>
    <row r="176" spans="2:11" ht="16.5" customHeight="1">
      <c r="B176" s="71">
        <v>17</v>
      </c>
      <c r="C176" s="68"/>
      <c r="D176" s="72" t="s">
        <v>295</v>
      </c>
      <c r="E176" s="69"/>
      <c r="F176" s="70"/>
      <c r="G176" s="73" t="str">
        <f>IFERROR(VLOOKUP(C176,'🧪 프렙 원가표'!$C$8:$D$18,2,0),IFERROR(VLOOKUP(C176,'🥬 식재료 DB'!$C$7:$H$121,6,0),""))</f>
        <v/>
      </c>
      <c r="H176" s="74" t="str">
        <f>IFERROR(IF(AND(C176&lt;&gt;"",ISNUMBER(E176),ISNUMBER(F176),F176&gt;0,ISNUMBER(G176)),E176/F176*G176,""),"")</f>
        <v/>
      </c>
      <c r="I176" s="63"/>
      <c r="J176" s="63"/>
    </row>
    <row r="177" spans="2:11" ht="3.75" customHeight="1">
      <c r="B177" s="78"/>
      <c r="C177" s="78"/>
      <c r="D177" s="78"/>
      <c r="E177" s="78"/>
      <c r="F177" s="78"/>
      <c r="G177" s="78"/>
      <c r="H177" s="78"/>
      <c r="I177" s="78"/>
      <c r="J177" s="78"/>
      <c r="K177" s="78"/>
    </row>
    <row r="178" spans="2:11" ht="27" customHeight="1">
      <c r="B178" s="50"/>
      <c r="C178" s="51" t="s">
        <v>373</v>
      </c>
      <c r="D178" s="50"/>
      <c r="E178" s="52">
        <v>22000</v>
      </c>
      <c r="F178" s="53">
        <f>IFERROR(SUM(H180,H181,H182,H183,H184,H185,H186,H187,H188,H189,H190,H191,H193,H194,H195,H196,H197),0)</f>
        <v>6576.2611111111109</v>
      </c>
      <c r="G178" s="54">
        <f>IFERROR(E178*'💰 고정비용 DB'!$D$22/'💰 고정비용 DB'!$D$25,0)</f>
        <v>14526.535451561793</v>
      </c>
      <c r="H178" s="55">
        <f>IFERROR(G178-F178,"")</f>
        <v>7950.2743404506818</v>
      </c>
      <c r="I178" s="56">
        <f>IFERROR(H178/E178,"")</f>
        <v>0.36137610638412188</v>
      </c>
      <c r="J178" s="57" t="str">
        <f>IF(I178="","⬜ 미입력",IF(I178&lt;=0.2,"✅ 양호",IF(I178&lt;=0.32,"🟡 주의","🔴 과다")))</f>
        <v>🔴 과다</v>
      </c>
      <c r="K178" s="50"/>
    </row>
    <row r="179" spans="2:11" ht="12.75" customHeight="1">
      <c r="B179" s="204" t="s">
        <v>291</v>
      </c>
      <c r="C179" s="204"/>
      <c r="D179" s="204"/>
      <c r="E179" s="204"/>
      <c r="F179" s="204"/>
      <c r="G179" s="204"/>
      <c r="H179" s="204"/>
      <c r="I179" s="204"/>
      <c r="J179" s="204"/>
      <c r="K179" s="204"/>
    </row>
    <row r="180" spans="2:11" ht="16.5" customHeight="1">
      <c r="B180" s="58">
        <v>1</v>
      </c>
      <c r="C180" s="6" t="s">
        <v>196</v>
      </c>
      <c r="D180" s="59" t="s">
        <v>292</v>
      </c>
      <c r="E180" s="60">
        <v>900</v>
      </c>
      <c r="F180" s="61">
        <v>1</v>
      </c>
      <c r="G180" s="25">
        <f>IFERROR(VLOOKUP(C180,'🥬 식재료 DB'!$C$7:$H$121,6,0),"")</f>
        <v>4.8888888888888893</v>
      </c>
      <c r="H180" s="62">
        <f t="shared" ref="H180:H191" si="8">IFERROR(IF(AND(C180&lt;&gt;"",ISNUMBER(E180),ISNUMBER(F180),F180&gt;0,ISNUMBER(G180)),E180/F180*G180,""),"")</f>
        <v>4400</v>
      </c>
      <c r="I180" s="63"/>
      <c r="J180" s="63"/>
    </row>
    <row r="181" spans="2:11" ht="16.5" customHeight="1">
      <c r="B181" s="58">
        <v>2</v>
      </c>
      <c r="C181" s="102" t="s">
        <v>218</v>
      </c>
      <c r="D181" s="59" t="s">
        <v>292</v>
      </c>
      <c r="E181" s="103">
        <v>30</v>
      </c>
      <c r="F181" s="104">
        <v>1</v>
      </c>
      <c r="G181" s="25">
        <f>IFERROR(VLOOKUP(C181,'🥬 식재료 DB'!$C$7:$H$121,6,0),"")</f>
        <v>6.666666666666667</v>
      </c>
      <c r="H181" s="62">
        <f t="shared" si="8"/>
        <v>200</v>
      </c>
      <c r="I181" s="105"/>
      <c r="J181" s="105"/>
    </row>
    <row r="182" spans="2:11" ht="16.5" customHeight="1">
      <c r="B182" s="58">
        <v>3</v>
      </c>
      <c r="C182" s="6" t="s">
        <v>145</v>
      </c>
      <c r="D182" s="59" t="s">
        <v>292</v>
      </c>
      <c r="E182" s="60">
        <v>10</v>
      </c>
      <c r="F182" s="61">
        <v>1</v>
      </c>
      <c r="G182" s="25">
        <f>IFERROR(VLOOKUP(C182,'🥬 식재료 DB'!$C$7:$H$121,6,0),"")</f>
        <v>14</v>
      </c>
      <c r="H182" s="62">
        <f t="shared" si="8"/>
        <v>140</v>
      </c>
      <c r="I182" s="63"/>
      <c r="J182" s="63"/>
    </row>
    <row r="183" spans="2:11" ht="16.5" customHeight="1">
      <c r="B183" s="58">
        <v>4</v>
      </c>
      <c r="C183" s="106" t="s">
        <v>183</v>
      </c>
      <c r="D183" s="59" t="s">
        <v>292</v>
      </c>
      <c r="E183" s="103">
        <v>5</v>
      </c>
      <c r="F183" s="104">
        <v>1</v>
      </c>
      <c r="G183" s="25">
        <f>IFERROR(VLOOKUP(C183,'🥬 식재료 DB'!$C$7:$H$121,6,0),"")</f>
        <v>25</v>
      </c>
      <c r="H183" s="62">
        <f t="shared" si="8"/>
        <v>125</v>
      </c>
      <c r="I183" s="105"/>
      <c r="J183" s="105"/>
    </row>
    <row r="184" spans="2:11" ht="16.5" customHeight="1">
      <c r="B184" s="58">
        <v>5</v>
      </c>
      <c r="C184" s="6" t="s">
        <v>140</v>
      </c>
      <c r="D184" s="59" t="s">
        <v>292</v>
      </c>
      <c r="E184" s="60">
        <v>10</v>
      </c>
      <c r="F184" s="61">
        <v>1</v>
      </c>
      <c r="G184" s="25">
        <f>IFERROR(VLOOKUP(C184,'🥬 식재료 DB'!$C$7:$H$121,6,0),"")</f>
        <v>0.93333333333333335</v>
      </c>
      <c r="H184" s="62">
        <f t="shared" si="8"/>
        <v>9.3333333333333339</v>
      </c>
      <c r="I184" s="63"/>
      <c r="J184" s="63"/>
    </row>
    <row r="185" spans="2:11" ht="16.5" customHeight="1">
      <c r="B185" s="58">
        <v>6</v>
      </c>
      <c r="C185" s="102" t="s">
        <v>244</v>
      </c>
      <c r="D185" s="59" t="s">
        <v>292</v>
      </c>
      <c r="E185" s="103">
        <v>5</v>
      </c>
      <c r="F185" s="104">
        <v>1</v>
      </c>
      <c r="G185" s="25">
        <f>IFERROR(VLOOKUP(C185,'🥬 식재료 DB'!$C$7:$H$121,6,0),"")</f>
        <v>5.5</v>
      </c>
      <c r="H185" s="62">
        <f t="shared" si="8"/>
        <v>27.5</v>
      </c>
      <c r="I185" s="105"/>
      <c r="J185" s="105"/>
    </row>
    <row r="186" spans="2:11" ht="16.5" customHeight="1">
      <c r="B186" s="58">
        <v>7</v>
      </c>
      <c r="C186" s="6" t="s">
        <v>168</v>
      </c>
      <c r="D186" s="59" t="s">
        <v>292</v>
      </c>
      <c r="E186" s="60">
        <v>5</v>
      </c>
      <c r="F186" s="61">
        <v>1</v>
      </c>
      <c r="G186" s="25">
        <f>IFERROR(VLOOKUP(C186,'🥬 식재료 DB'!$C$7:$H$121,6,0),"")</f>
        <v>1</v>
      </c>
      <c r="H186" s="62">
        <f t="shared" si="8"/>
        <v>5</v>
      </c>
      <c r="I186" s="63"/>
      <c r="J186" s="63"/>
    </row>
    <row r="187" spans="2:11" ht="16.5" customHeight="1">
      <c r="B187" s="58">
        <v>8</v>
      </c>
      <c r="C187" s="102" t="s">
        <v>195</v>
      </c>
      <c r="D187" s="59" t="s">
        <v>292</v>
      </c>
      <c r="E187" s="103">
        <v>10</v>
      </c>
      <c r="F187" s="104">
        <v>1</v>
      </c>
      <c r="G187" s="25">
        <f>IFERROR(VLOOKUP(C187,'🥬 식재료 DB'!$C$7:$H$121,6,0),"")</f>
        <v>9</v>
      </c>
      <c r="H187" s="62">
        <f t="shared" si="8"/>
        <v>90</v>
      </c>
      <c r="I187" s="105"/>
      <c r="J187" s="105"/>
    </row>
    <row r="188" spans="2:11" ht="16.5" customHeight="1">
      <c r="B188" s="58">
        <v>9</v>
      </c>
      <c r="C188" s="68"/>
      <c r="D188" s="59" t="s">
        <v>292</v>
      </c>
      <c r="E188" s="69"/>
      <c r="F188" s="70"/>
      <c r="G188" s="25" t="str">
        <f>IFERROR(VLOOKUP(C188,'🥬 식재료 DB'!$C$7:$H$121,6,0),"")</f>
        <v/>
      </c>
      <c r="H188" s="62" t="str">
        <f t="shared" si="8"/>
        <v/>
      </c>
      <c r="I188" s="63"/>
      <c r="J188" s="63"/>
    </row>
    <row r="189" spans="2:11" ht="16.5" customHeight="1">
      <c r="B189" s="58">
        <v>10</v>
      </c>
      <c r="C189" s="68"/>
      <c r="D189" s="59" t="s">
        <v>292</v>
      </c>
      <c r="E189" s="69"/>
      <c r="F189" s="70"/>
      <c r="G189" s="25" t="str">
        <f>IFERROR(VLOOKUP(C189,'🥬 식재료 DB'!$C$7:$H$121,6,0),"")</f>
        <v/>
      </c>
      <c r="H189" s="62" t="str">
        <f t="shared" si="8"/>
        <v/>
      </c>
      <c r="I189" s="105"/>
      <c r="J189" s="105"/>
    </row>
    <row r="190" spans="2:11" ht="16.5" customHeight="1">
      <c r="B190" s="58">
        <v>11</v>
      </c>
      <c r="C190" s="68"/>
      <c r="D190" s="59" t="s">
        <v>292</v>
      </c>
      <c r="E190" s="69"/>
      <c r="F190" s="70"/>
      <c r="G190" s="25" t="str">
        <f>IFERROR(VLOOKUP(C190,'🥬 식재료 DB'!$C$7:$H$121,6,0),"")</f>
        <v/>
      </c>
      <c r="H190" s="62" t="str">
        <f t="shared" si="8"/>
        <v/>
      </c>
      <c r="I190" s="63"/>
      <c r="J190" s="63"/>
    </row>
    <row r="191" spans="2:11" ht="16.5" customHeight="1">
      <c r="B191" s="58">
        <v>12</v>
      </c>
      <c r="C191" s="68"/>
      <c r="D191" s="59" t="s">
        <v>292</v>
      </c>
      <c r="E191" s="69"/>
      <c r="F191" s="70"/>
      <c r="G191" s="25" t="str">
        <f>IFERROR(VLOOKUP(C191,'🥬 식재료 DB'!$C$7:$H$121,6,0),"")</f>
        <v/>
      </c>
      <c r="H191" s="62" t="str">
        <f t="shared" si="8"/>
        <v/>
      </c>
      <c r="I191" s="105"/>
      <c r="J191" s="105"/>
    </row>
    <row r="192" spans="2:11" ht="12.75" customHeight="1">
      <c r="B192" s="203" t="s">
        <v>293</v>
      </c>
      <c r="C192" s="203"/>
      <c r="D192" s="203"/>
      <c r="E192" s="203"/>
      <c r="F192" s="203"/>
      <c r="G192" s="203"/>
      <c r="H192" s="203"/>
      <c r="I192" s="203"/>
      <c r="J192" s="203"/>
      <c r="K192" s="203"/>
    </row>
    <row r="193" spans="2:11" ht="16.5" customHeight="1">
      <c r="B193" s="71">
        <v>13</v>
      </c>
      <c r="C193" s="6" t="s">
        <v>361</v>
      </c>
      <c r="D193" s="72" t="s">
        <v>295</v>
      </c>
      <c r="E193" s="60">
        <v>200</v>
      </c>
      <c r="F193" s="61">
        <v>1</v>
      </c>
      <c r="G193" s="73">
        <f>IFERROR(VLOOKUP(C193,'🧪 프렙 원가표'!$C$8:$D$18,2,0),IFERROR(VLOOKUP(C193,'🥬 식재료 DB'!$C$7:$H$121,6,0),""))</f>
        <v>7.8971388888888887</v>
      </c>
      <c r="H193" s="74">
        <f>IFERROR(IF(AND(C193&lt;&gt;"",ISNUMBER(E193),ISNUMBER(F193),F193&gt;0,ISNUMBER(G193)),E193/F193*G193,""),"")</f>
        <v>1579.4277777777777</v>
      </c>
      <c r="I193" s="63"/>
      <c r="J193" s="63"/>
    </row>
    <row r="194" spans="2:11" ht="16.5" customHeight="1">
      <c r="B194" s="71">
        <v>14</v>
      </c>
      <c r="C194" s="68"/>
      <c r="D194" s="72" t="s">
        <v>295</v>
      </c>
      <c r="E194" s="69"/>
      <c r="F194" s="70"/>
      <c r="G194" s="73" t="str">
        <f>IFERROR(VLOOKUP(C194,'🧪 프렙 원가표'!$C$8:$D$18,2,0),IFERROR(VLOOKUP(C194,'🥬 식재료 DB'!$C$7:$H$121,6,0),""))</f>
        <v/>
      </c>
      <c r="H194" s="74" t="str">
        <f>IFERROR(IF(AND(C194&lt;&gt;"",ISNUMBER(E194),ISNUMBER(F194),F194&gt;0,ISNUMBER(G194)),E194/F194*G194,""),"")</f>
        <v/>
      </c>
      <c r="I194" s="77"/>
      <c r="J194" s="77"/>
    </row>
    <row r="195" spans="2:11" ht="16.5" customHeight="1">
      <c r="B195" s="71">
        <v>15</v>
      </c>
      <c r="C195" s="68"/>
      <c r="D195" s="72" t="s">
        <v>295</v>
      </c>
      <c r="E195" s="69"/>
      <c r="F195" s="70"/>
      <c r="G195" s="73" t="str">
        <f>IFERROR(VLOOKUP(C195,'🧪 프렙 원가표'!$C$8:$D$18,2,0),IFERROR(VLOOKUP(C195,'🥬 식재료 DB'!$C$7:$H$121,6,0),""))</f>
        <v/>
      </c>
      <c r="H195" s="74" t="str">
        <f>IFERROR(IF(AND(C195&lt;&gt;"",ISNUMBER(E195),ISNUMBER(F195),F195&gt;0,ISNUMBER(G195)),E195/F195*G195,""),"")</f>
        <v/>
      </c>
      <c r="I195" s="63"/>
      <c r="J195" s="63"/>
    </row>
    <row r="196" spans="2:11" ht="16.5" customHeight="1">
      <c r="B196" s="71">
        <v>16</v>
      </c>
      <c r="C196" s="68"/>
      <c r="D196" s="72" t="s">
        <v>295</v>
      </c>
      <c r="E196" s="69"/>
      <c r="F196" s="70"/>
      <c r="G196" s="73" t="str">
        <f>IFERROR(VLOOKUP(C196,'🧪 프렙 원가표'!$C$8:$D$18,2,0),IFERROR(VLOOKUP(C196,'🥬 식재료 DB'!$C$7:$H$121,6,0),""))</f>
        <v/>
      </c>
      <c r="H196" s="74" t="str">
        <f>IFERROR(IF(AND(C196&lt;&gt;"",ISNUMBER(E196),ISNUMBER(F196),F196&gt;0,ISNUMBER(G196)),E196/F196*G196,""),"")</f>
        <v/>
      </c>
      <c r="I196" s="77"/>
      <c r="J196" s="77"/>
    </row>
    <row r="197" spans="2:11" ht="16.5" customHeight="1">
      <c r="B197" s="71">
        <v>17</v>
      </c>
      <c r="C197" s="68"/>
      <c r="D197" s="72" t="s">
        <v>295</v>
      </c>
      <c r="E197" s="69"/>
      <c r="F197" s="70"/>
      <c r="G197" s="73" t="str">
        <f>IFERROR(VLOOKUP(C197,'🧪 프렙 원가표'!$C$8:$D$18,2,0),IFERROR(VLOOKUP(C197,'🥬 식재료 DB'!$C$7:$H$121,6,0),""))</f>
        <v/>
      </c>
      <c r="H197" s="74" t="str">
        <f>IFERROR(IF(AND(C197&lt;&gt;"",ISNUMBER(E197),ISNUMBER(F197),F197&gt;0,ISNUMBER(G197)),E197/F197*G197,""),"")</f>
        <v/>
      </c>
      <c r="I197" s="63"/>
      <c r="J197" s="63"/>
    </row>
    <row r="198" spans="2:11" ht="3.75" customHeight="1">
      <c r="B198" s="78"/>
      <c r="C198" s="78"/>
      <c r="D198" s="78"/>
      <c r="E198" s="78"/>
      <c r="F198" s="78"/>
      <c r="G198" s="78"/>
      <c r="H198" s="78"/>
      <c r="I198" s="78"/>
      <c r="J198" s="78"/>
      <c r="K198" s="78"/>
    </row>
  </sheetData>
  <mergeCells count="21">
    <mergeCell ref="B2:K2"/>
    <mergeCell ref="B4:K4"/>
    <mergeCell ref="B5:K5"/>
    <mergeCell ref="B9:K9"/>
    <mergeCell ref="B22:K22"/>
    <mergeCell ref="B30:K30"/>
    <mergeCell ref="B43:K43"/>
    <mergeCell ref="B51:K51"/>
    <mergeCell ref="B64:K64"/>
    <mergeCell ref="B72:K72"/>
    <mergeCell ref="B86:K86"/>
    <mergeCell ref="B94:K94"/>
    <mergeCell ref="B108:K108"/>
    <mergeCell ref="B116:K116"/>
    <mergeCell ref="B129:K129"/>
    <mergeCell ref="B192:K192"/>
    <mergeCell ref="B137:K137"/>
    <mergeCell ref="B150:K150"/>
    <mergeCell ref="B158:K158"/>
    <mergeCell ref="B171:K171"/>
    <mergeCell ref="B179:K179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0B"/>
  </sheetPr>
  <dimension ref="A1:K283"/>
  <sheetViews>
    <sheetView showGridLines="0" zoomScaleNormal="100" workbookViewId="0">
      <pane xSplit="2" ySplit="7" topLeftCell="C275" activePane="bottomRight" state="frozen"/>
      <selection pane="topRight" activeCell="C1" sqref="C1"/>
      <selection pane="bottomLeft" activeCell="A8" sqref="A8"/>
      <selection pane="bottomRight" activeCell="H263" sqref="H263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11" t="s">
        <v>374</v>
      </c>
      <c r="C2" s="211"/>
      <c r="D2" s="211"/>
      <c r="E2" s="211"/>
      <c r="F2" s="211"/>
      <c r="G2" s="211"/>
      <c r="H2" s="211"/>
      <c r="I2" s="211"/>
      <c r="J2" s="211"/>
      <c r="K2" s="211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107" t="s">
        <v>6</v>
      </c>
      <c r="C7" s="108" t="s">
        <v>130</v>
      </c>
      <c r="D7" s="108" t="s">
        <v>284</v>
      </c>
      <c r="E7" s="108" t="s">
        <v>285</v>
      </c>
      <c r="F7" s="108" t="s">
        <v>286</v>
      </c>
      <c r="G7" s="107" t="s">
        <v>287</v>
      </c>
      <c r="H7" s="108" t="s">
        <v>288</v>
      </c>
      <c r="I7" s="108" t="s">
        <v>289</v>
      </c>
    </row>
    <row r="8" spans="2:11" ht="27" customHeight="1">
      <c r="B8" s="50"/>
      <c r="C8" s="51" t="s">
        <v>375</v>
      </c>
      <c r="D8" s="50"/>
      <c r="E8" s="52">
        <v>10000</v>
      </c>
      <c r="F8" s="53">
        <f>IFERROR(SUM(H10,H11,H12,H13,H14,H15,H16,H17,H18,H19,H20,H21,H23,H24,H25,H26,H27),0)</f>
        <v>626.16666666666674</v>
      </c>
      <c r="G8" s="54">
        <f>IFERROR(E8*'💰 고정비용 DB'!$D$22/'💰 고정비용 DB'!$D$25,0)</f>
        <v>6602.9706598008152</v>
      </c>
      <c r="H8" s="55">
        <f>IFERROR(G8-F8,"")</f>
        <v>5976.8039931341482</v>
      </c>
      <c r="I8" s="56">
        <f>IFERROR(H8/E8,"")</f>
        <v>0.59768039931341477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138</v>
      </c>
      <c r="D10" s="59" t="s">
        <v>292</v>
      </c>
      <c r="E10" s="60">
        <v>200</v>
      </c>
      <c r="F10" s="61">
        <v>1</v>
      </c>
      <c r="G10" s="25">
        <f>IFERROR(VLOOKUP(C10,'🥬 식재료 DB'!$C$7:$H$121,6,0),"")</f>
        <v>1.25</v>
      </c>
      <c r="H10" s="62">
        <f t="shared" ref="H10:H21" si="0">IFERROR(IF(AND(C10&lt;&gt;"",ISNUMBER(E10),ISNUMBER(F10),F10&gt;0,ISNUMBER(G10)),E10/F10*G10,""),"")</f>
        <v>250</v>
      </c>
      <c r="I10" s="63"/>
      <c r="J10" s="63"/>
    </row>
    <row r="11" spans="2:11" ht="16.5" customHeight="1">
      <c r="B11" s="58">
        <v>2</v>
      </c>
      <c r="C11" s="109" t="s">
        <v>376</v>
      </c>
      <c r="D11" s="59" t="s">
        <v>292</v>
      </c>
      <c r="E11" s="110">
        <v>100</v>
      </c>
      <c r="F11" s="111">
        <v>1</v>
      </c>
      <c r="G11" s="25" t="str">
        <f>IFERROR(VLOOKUP(C11,'🥬 식재료 DB'!$C$7:$H$121,6,0),"")</f>
        <v/>
      </c>
      <c r="H11" s="62" t="str">
        <f t="shared" si="0"/>
        <v/>
      </c>
      <c r="I11" s="112"/>
      <c r="J11" s="112"/>
    </row>
    <row r="12" spans="2:11" ht="16.5" customHeight="1">
      <c r="B12" s="58">
        <v>3</v>
      </c>
      <c r="C12" s="6" t="s">
        <v>140</v>
      </c>
      <c r="D12" s="59" t="s">
        <v>292</v>
      </c>
      <c r="E12" s="60">
        <v>20</v>
      </c>
      <c r="F12" s="61">
        <v>1</v>
      </c>
      <c r="G12" s="25">
        <f>IFERROR(VLOOKUP(C12,'🥬 식재료 DB'!$C$7:$H$121,6,0),"")</f>
        <v>0.93333333333333335</v>
      </c>
      <c r="H12" s="62">
        <f t="shared" si="0"/>
        <v>18.666666666666668</v>
      </c>
      <c r="I12" s="63"/>
      <c r="J12" s="63"/>
    </row>
    <row r="13" spans="2:11" ht="16.5" customHeight="1">
      <c r="B13" s="58">
        <v>4</v>
      </c>
      <c r="C13" s="109" t="s">
        <v>377</v>
      </c>
      <c r="D13" s="59" t="s">
        <v>292</v>
      </c>
      <c r="E13" s="110">
        <v>10</v>
      </c>
      <c r="F13" s="111">
        <v>1</v>
      </c>
      <c r="G13" s="25" t="str">
        <f>IFERROR(VLOOKUP(C13,'🥬 식재료 DB'!$C$7:$H$121,6,0),"")</f>
        <v/>
      </c>
      <c r="H13" s="62" t="str">
        <f t="shared" si="0"/>
        <v/>
      </c>
      <c r="I13" s="112"/>
      <c r="J13" s="112"/>
    </row>
    <row r="14" spans="2:11" ht="16.5" customHeight="1">
      <c r="B14" s="58">
        <v>5</v>
      </c>
      <c r="C14" s="6" t="s">
        <v>143</v>
      </c>
      <c r="D14" s="59" t="s">
        <v>292</v>
      </c>
      <c r="E14" s="60">
        <v>5</v>
      </c>
      <c r="F14" s="61">
        <v>1</v>
      </c>
      <c r="G14" s="25">
        <f>IFERROR(VLOOKUP(C14,'🥬 식재료 DB'!$C$7:$H$121,6,0),"")</f>
        <v>10</v>
      </c>
      <c r="H14" s="62">
        <f t="shared" si="0"/>
        <v>50</v>
      </c>
      <c r="I14" s="63"/>
      <c r="J14" s="63"/>
    </row>
    <row r="15" spans="2:11" ht="16.5" customHeight="1">
      <c r="B15" s="58">
        <v>6</v>
      </c>
      <c r="C15" s="109" t="s">
        <v>144</v>
      </c>
      <c r="D15" s="59" t="s">
        <v>292</v>
      </c>
      <c r="E15" s="110">
        <v>5</v>
      </c>
      <c r="F15" s="111">
        <v>1</v>
      </c>
      <c r="G15" s="25">
        <f>IFERROR(VLOOKUP(C15,'🥬 식재료 DB'!$C$7:$H$121,6,0),"")</f>
        <v>9</v>
      </c>
      <c r="H15" s="62">
        <f t="shared" si="0"/>
        <v>45</v>
      </c>
      <c r="I15" s="112"/>
      <c r="J15" s="112"/>
    </row>
    <row r="16" spans="2:11" ht="16.5" customHeight="1">
      <c r="B16" s="58">
        <v>7</v>
      </c>
      <c r="C16" s="6" t="s">
        <v>378</v>
      </c>
      <c r="D16" s="59" t="s">
        <v>292</v>
      </c>
      <c r="E16" s="60">
        <v>10</v>
      </c>
      <c r="F16" s="61">
        <v>1</v>
      </c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113" t="s">
        <v>174</v>
      </c>
      <c r="D17" s="59" t="s">
        <v>292</v>
      </c>
      <c r="E17" s="110">
        <v>10</v>
      </c>
      <c r="F17" s="111">
        <v>1</v>
      </c>
      <c r="G17" s="25">
        <f>IFERROR(VLOOKUP(C17,'🥬 식재료 DB'!$C$7:$H$121,6,0),"")</f>
        <v>22.5</v>
      </c>
      <c r="H17" s="62">
        <f t="shared" si="0"/>
        <v>225</v>
      </c>
      <c r="I17" s="112"/>
      <c r="J17" s="112"/>
    </row>
    <row r="18" spans="2:11" ht="16.5" customHeight="1">
      <c r="B18" s="58">
        <v>9</v>
      </c>
      <c r="C18" s="6" t="s">
        <v>168</v>
      </c>
      <c r="D18" s="59" t="s">
        <v>292</v>
      </c>
      <c r="E18" s="60">
        <v>10</v>
      </c>
      <c r="F18" s="61">
        <v>1</v>
      </c>
      <c r="G18" s="25">
        <f>IFERROR(VLOOKUP(C18,'🥬 식재료 DB'!$C$7:$H$121,6,0),"")</f>
        <v>1</v>
      </c>
      <c r="H18" s="62">
        <f t="shared" si="0"/>
        <v>10</v>
      </c>
      <c r="I18" s="63"/>
      <c r="J18" s="63"/>
    </row>
    <row r="19" spans="2:11" ht="16.5" customHeight="1">
      <c r="B19" s="58">
        <v>10</v>
      </c>
      <c r="C19" s="109" t="s">
        <v>191</v>
      </c>
      <c r="D19" s="59" t="s">
        <v>292</v>
      </c>
      <c r="E19" s="110">
        <v>10</v>
      </c>
      <c r="F19" s="111">
        <v>1</v>
      </c>
      <c r="G19" s="25">
        <f>IFERROR(VLOOKUP(C19,'🥬 식재료 DB'!$C$7:$H$121,6,0),"")</f>
        <v>2.75</v>
      </c>
      <c r="H19" s="62">
        <f t="shared" si="0"/>
        <v>27.5</v>
      </c>
      <c r="I19" s="112"/>
      <c r="J19" s="112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112"/>
      <c r="J21" s="112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8"/>
      <c r="D23" s="72" t="s">
        <v>295</v>
      </c>
      <c r="E23" s="69"/>
      <c r="F23" s="70"/>
      <c r="G23" s="73" t="str">
        <f>IFERROR(VLOOKUP(C23,'🧪 프렙 원가표'!$C$8:$D$18,2,0),IFERROR(VLOOKUP(C23,'🥬 식재료 DB'!$C$7:$H$121,6,0),""))</f>
        <v/>
      </c>
      <c r="H23" s="74" t="str">
        <f>IFERROR(IF(AND(C23&lt;&gt;"",ISNUMBER(E23),ISNUMBER(F23),F23&gt;0,ISNUMBER(G23)),E23/F23*G23,""),"")</f>
        <v/>
      </c>
      <c r="I23" s="63"/>
      <c r="J23" s="63"/>
    </row>
    <row r="24" spans="2:11" ht="16.5" customHeight="1">
      <c r="B24" s="71">
        <v>14</v>
      </c>
      <c r="C24" s="68"/>
      <c r="D24" s="72" t="s">
        <v>295</v>
      </c>
      <c r="E24" s="69"/>
      <c r="F24" s="70"/>
      <c r="G24" s="73" t="str">
        <f>IFERROR(VLOOKUP(C24,'🧪 프렙 원가표'!$C$8:$D$18,2,0),IFERROR(VLOOKUP(C24,'🥬 식재료 DB'!$C$7:$H$121,6,0),""))</f>
        <v/>
      </c>
      <c r="H24" s="74" t="str">
        <f>IFERROR(IF(AND(C24&lt;&gt;"",ISNUMBER(E24),ISNUMBER(F24),F24&gt;0,ISNUMBER(G24)),E24/F24*G24,""),"")</f>
        <v/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379</v>
      </c>
      <c r="D29" s="50"/>
      <c r="E29" s="52">
        <v>12000</v>
      </c>
      <c r="F29" s="53">
        <f>IFERROR(SUM(H31,H32,H33,H34,H35,H36,H37,H38,H39,H40,H41,H42,H44,H45,H46,H47,H48),0)</f>
        <v>683.66666666666674</v>
      </c>
      <c r="G29" s="54">
        <f>IFERROR(E29*'💰 고정비용 DB'!$D$22/'💰 고정비용 DB'!$D$25,0)</f>
        <v>7923.5647917609776</v>
      </c>
      <c r="H29" s="55">
        <f>IFERROR(G29-F29,"")</f>
        <v>7239.8981250943107</v>
      </c>
      <c r="I29" s="56">
        <f>IFERROR(H29/E29,"")</f>
        <v>0.60332484375785922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138</v>
      </c>
      <c r="D31" s="59" t="s">
        <v>292</v>
      </c>
      <c r="E31" s="60">
        <v>200</v>
      </c>
      <c r="F31" s="61">
        <v>1</v>
      </c>
      <c r="G31" s="25">
        <f>IFERROR(VLOOKUP(C31,'🥬 식재료 DB'!$C$7:$H$121,6,0),"")</f>
        <v>1.25</v>
      </c>
      <c r="H31" s="62">
        <f t="shared" ref="H31:H42" si="1">IFERROR(IF(AND(C31&lt;&gt;"",ISNUMBER(E31),ISNUMBER(F31),F31&gt;0,ISNUMBER(G31)),E31/F31*G31,""),"")</f>
        <v>250</v>
      </c>
      <c r="I31" s="63"/>
      <c r="J31" s="63"/>
    </row>
    <row r="32" spans="2:11" ht="16.5" customHeight="1">
      <c r="B32" s="58">
        <v>2</v>
      </c>
      <c r="C32" s="109" t="s">
        <v>376</v>
      </c>
      <c r="D32" s="59" t="s">
        <v>292</v>
      </c>
      <c r="E32" s="110">
        <v>100</v>
      </c>
      <c r="F32" s="111">
        <v>1</v>
      </c>
      <c r="G32" s="25" t="str">
        <f>IFERROR(VLOOKUP(C32,'🥬 식재료 DB'!$C$7:$H$121,6,0),"")</f>
        <v/>
      </c>
      <c r="H32" s="62" t="str">
        <f t="shared" si="1"/>
        <v/>
      </c>
      <c r="I32" s="112"/>
      <c r="J32" s="112"/>
    </row>
    <row r="33" spans="2:11" ht="16.5" customHeight="1">
      <c r="B33" s="58">
        <v>3</v>
      </c>
      <c r="C33" s="6" t="s">
        <v>227</v>
      </c>
      <c r="D33" s="59" t="s">
        <v>292</v>
      </c>
      <c r="E33" s="60">
        <v>30</v>
      </c>
      <c r="F33" s="61">
        <v>1</v>
      </c>
      <c r="G33" s="25">
        <f>IFERROR(VLOOKUP(C33,'🥬 식재료 DB'!$C$7:$H$121,6,0),"")</f>
        <v>6</v>
      </c>
      <c r="H33" s="62">
        <f t="shared" si="1"/>
        <v>180</v>
      </c>
      <c r="I33" s="63"/>
      <c r="J33" s="63"/>
    </row>
    <row r="34" spans="2:11" ht="16.5" customHeight="1">
      <c r="B34" s="58">
        <v>4</v>
      </c>
      <c r="C34" s="109" t="s">
        <v>140</v>
      </c>
      <c r="D34" s="59" t="s">
        <v>292</v>
      </c>
      <c r="E34" s="110">
        <v>20</v>
      </c>
      <c r="F34" s="111">
        <v>1</v>
      </c>
      <c r="G34" s="25">
        <f>IFERROR(VLOOKUP(C34,'🥬 식재료 DB'!$C$7:$H$121,6,0),"")</f>
        <v>0.93333333333333335</v>
      </c>
      <c r="H34" s="62">
        <f t="shared" si="1"/>
        <v>18.666666666666668</v>
      </c>
      <c r="I34" s="112"/>
      <c r="J34" s="112"/>
    </row>
    <row r="35" spans="2:11" ht="16.5" customHeight="1">
      <c r="B35" s="58">
        <v>5</v>
      </c>
      <c r="C35" s="17" t="s">
        <v>174</v>
      </c>
      <c r="D35" s="59" t="s">
        <v>292</v>
      </c>
      <c r="E35" s="60">
        <v>10</v>
      </c>
      <c r="F35" s="61">
        <v>1</v>
      </c>
      <c r="G35" s="25">
        <f>IFERROR(VLOOKUP(C35,'🥬 식재료 DB'!$C$7:$H$121,6,0),"")</f>
        <v>22.5</v>
      </c>
      <c r="H35" s="62">
        <f t="shared" si="1"/>
        <v>225</v>
      </c>
      <c r="I35" s="63"/>
      <c r="J35" s="63"/>
    </row>
    <row r="36" spans="2:11" ht="16.5" customHeight="1">
      <c r="B36" s="58">
        <v>6</v>
      </c>
      <c r="C36" s="109" t="s">
        <v>360</v>
      </c>
      <c r="D36" s="59" t="s">
        <v>292</v>
      </c>
      <c r="E36" s="110">
        <v>10</v>
      </c>
      <c r="F36" s="111">
        <v>1</v>
      </c>
      <c r="G36" s="25" t="str">
        <f>IFERROR(VLOOKUP(C36,'🥬 식재료 DB'!$C$7:$H$121,6,0),"")</f>
        <v/>
      </c>
      <c r="H36" s="62" t="str">
        <f t="shared" si="1"/>
        <v/>
      </c>
      <c r="I36" s="112"/>
      <c r="J36" s="112"/>
    </row>
    <row r="37" spans="2:11" ht="16.5" customHeight="1">
      <c r="B37" s="58">
        <v>7</v>
      </c>
      <c r="C37" s="6" t="s">
        <v>303</v>
      </c>
      <c r="D37" s="59" t="s">
        <v>292</v>
      </c>
      <c r="E37" s="60">
        <v>10</v>
      </c>
      <c r="F37" s="61">
        <v>1</v>
      </c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109" t="s">
        <v>168</v>
      </c>
      <c r="D38" s="59" t="s">
        <v>292</v>
      </c>
      <c r="E38" s="110">
        <v>10</v>
      </c>
      <c r="F38" s="111">
        <v>1</v>
      </c>
      <c r="G38" s="25">
        <f>IFERROR(VLOOKUP(C38,'🥬 식재료 DB'!$C$7:$H$121,6,0),"")</f>
        <v>1</v>
      </c>
      <c r="H38" s="62">
        <f t="shared" si="1"/>
        <v>10</v>
      </c>
      <c r="I38" s="112"/>
      <c r="J38" s="112"/>
    </row>
    <row r="39" spans="2:11" ht="16.5" customHeight="1">
      <c r="B39" s="58">
        <v>9</v>
      </c>
      <c r="C39" s="6" t="s">
        <v>377</v>
      </c>
      <c r="D39" s="59" t="s">
        <v>292</v>
      </c>
      <c r="E39" s="60">
        <v>10</v>
      </c>
      <c r="F39" s="61">
        <v>1</v>
      </c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112"/>
      <c r="J40" s="112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112"/>
      <c r="J42" s="112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8"/>
      <c r="D44" s="72" t="s">
        <v>295</v>
      </c>
      <c r="E44" s="69"/>
      <c r="F44" s="70"/>
      <c r="G44" s="73" t="str">
        <f>IFERROR(VLOOKUP(C44,'🧪 프렙 원가표'!$C$8:$D$18,2,0),IFERROR(VLOOKUP(C44,'🥬 식재료 DB'!$C$7:$H$121,6,0),""))</f>
        <v/>
      </c>
      <c r="H44" s="74" t="str">
        <f>IFERROR(IF(AND(C44&lt;&gt;"",ISNUMBER(E44),ISNUMBER(F44),F44&gt;0,ISNUMBER(G44)),E44/F44*G44,""),"")</f>
        <v/>
      </c>
      <c r="I44" s="63"/>
      <c r="J44" s="63"/>
    </row>
    <row r="45" spans="2:11" ht="16.5" customHeight="1">
      <c r="B45" s="71">
        <v>14</v>
      </c>
      <c r="C45" s="68"/>
      <c r="D45" s="72" t="s">
        <v>295</v>
      </c>
      <c r="E45" s="69"/>
      <c r="F45" s="70"/>
      <c r="G45" s="73" t="str">
        <f>IFERROR(VLOOKUP(C45,'🧪 프렙 원가표'!$C$8:$D$18,2,0),IFERROR(VLOOKUP(C45,'🥬 식재료 DB'!$C$7:$H$121,6,0),""))</f>
        <v/>
      </c>
      <c r="H45" s="74" t="str">
        <f>IFERROR(IF(AND(C45&lt;&gt;"",ISNUMBER(E45),ISNUMBER(F45),F45&gt;0,ISNUMBER(G45)),E45/F45*G45,""),"")</f>
        <v/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380</v>
      </c>
      <c r="D50" s="50"/>
      <c r="E50" s="52">
        <v>10000</v>
      </c>
      <c r="F50" s="53">
        <f>IFERROR(SUM(H52,H53,H54,H55,H56,H57,H58,H59,H60,H61,H62,H63,H65,H66,H67,H68,H69),0)</f>
        <v>871.41111111111115</v>
      </c>
      <c r="G50" s="54">
        <f>IFERROR(E50*'💰 고정비용 DB'!$D$22/'💰 고정비용 DB'!$D$25,0)</f>
        <v>6602.9706598008152</v>
      </c>
      <c r="H50" s="55">
        <f>IFERROR(G50-F50,"")</f>
        <v>5731.5595486897037</v>
      </c>
      <c r="I50" s="56">
        <f>IFERROR(H50/E50,"")</f>
        <v>0.57315595486897042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300</v>
      </c>
      <c r="D52" s="59" t="s">
        <v>292</v>
      </c>
      <c r="E52" s="60">
        <v>30</v>
      </c>
      <c r="F52" s="61">
        <v>1</v>
      </c>
      <c r="G52" s="25" t="str">
        <f>IFERROR(VLOOKUP(C52,'🥬 식재료 DB'!$C$7:$H$121,6,0),"")</f>
        <v/>
      </c>
      <c r="H52" s="62" t="str">
        <f t="shared" ref="H52:H63" si="2">IFERROR(IF(AND(C52&lt;&gt;"",ISNUMBER(E52),ISNUMBER(F52),F52&gt;0,ISNUMBER(G52)),E52/F52*G52,""),"")</f>
        <v/>
      </c>
      <c r="I52" s="63"/>
      <c r="J52" s="63"/>
    </row>
    <row r="53" spans="2:11" ht="16.5" customHeight="1">
      <c r="B53" s="58">
        <v>2</v>
      </c>
      <c r="C53" s="109" t="s">
        <v>381</v>
      </c>
      <c r="D53" s="59" t="s">
        <v>292</v>
      </c>
      <c r="E53" s="110">
        <v>100</v>
      </c>
      <c r="F53" s="111">
        <v>1</v>
      </c>
      <c r="G53" s="25" t="str">
        <f>IFERROR(VLOOKUP(C53,'🥬 식재료 DB'!$C$7:$H$121,6,0),"")</f>
        <v/>
      </c>
      <c r="H53" s="62" t="str">
        <f t="shared" si="2"/>
        <v/>
      </c>
      <c r="I53" s="112"/>
      <c r="J53" s="112"/>
    </row>
    <row r="54" spans="2:11" ht="16.5" customHeight="1">
      <c r="B54" s="58">
        <v>3</v>
      </c>
      <c r="C54" s="6" t="s">
        <v>140</v>
      </c>
      <c r="D54" s="59" t="s">
        <v>292</v>
      </c>
      <c r="E54" s="60">
        <v>30</v>
      </c>
      <c r="F54" s="61">
        <v>1</v>
      </c>
      <c r="G54" s="25">
        <f>IFERROR(VLOOKUP(C54,'🥬 식재료 DB'!$C$7:$H$121,6,0),"")</f>
        <v>0.93333333333333335</v>
      </c>
      <c r="H54" s="62">
        <f t="shared" si="2"/>
        <v>28</v>
      </c>
      <c r="I54" s="63"/>
      <c r="J54" s="63"/>
    </row>
    <row r="55" spans="2:11" ht="16.5" customHeight="1">
      <c r="B55" s="58">
        <v>4</v>
      </c>
      <c r="C55" s="109" t="s">
        <v>223</v>
      </c>
      <c r="D55" s="59" t="s">
        <v>292</v>
      </c>
      <c r="E55" s="110">
        <v>30</v>
      </c>
      <c r="F55" s="111">
        <v>1</v>
      </c>
      <c r="G55" s="25">
        <f>IFERROR(VLOOKUP(C55,'🥬 식재료 DB'!$C$7:$H$121,6,0),"")</f>
        <v>10</v>
      </c>
      <c r="H55" s="62">
        <f t="shared" si="2"/>
        <v>300</v>
      </c>
      <c r="I55" s="112"/>
      <c r="J55" s="112"/>
    </row>
    <row r="56" spans="2:11" ht="16.5" customHeight="1">
      <c r="B56" s="58">
        <v>5</v>
      </c>
      <c r="C56" s="6" t="s">
        <v>218</v>
      </c>
      <c r="D56" s="59" t="s">
        <v>292</v>
      </c>
      <c r="E56" s="60">
        <v>50</v>
      </c>
      <c r="F56" s="61">
        <v>1</v>
      </c>
      <c r="G56" s="25">
        <f>IFERROR(VLOOKUP(C56,'🥬 식재료 DB'!$C$7:$H$121,6,0),"")</f>
        <v>6.666666666666667</v>
      </c>
      <c r="H56" s="62">
        <f t="shared" si="2"/>
        <v>333.33333333333337</v>
      </c>
      <c r="I56" s="63"/>
      <c r="J56" s="63"/>
    </row>
    <row r="57" spans="2:11" ht="16.5" customHeight="1">
      <c r="B57" s="58">
        <v>6</v>
      </c>
      <c r="C57" s="109" t="s">
        <v>242</v>
      </c>
      <c r="D57" s="59" t="s">
        <v>292</v>
      </c>
      <c r="E57" s="110">
        <v>5</v>
      </c>
      <c r="F57" s="111">
        <v>1</v>
      </c>
      <c r="G57" s="25">
        <f>IFERROR(VLOOKUP(C57,'🥬 식재료 DB'!$C$7:$H$121,6,0),"")</f>
        <v>9.9600000000000009</v>
      </c>
      <c r="H57" s="62">
        <f t="shared" si="2"/>
        <v>49.800000000000004</v>
      </c>
      <c r="I57" s="112"/>
      <c r="J57" s="112"/>
    </row>
    <row r="58" spans="2:11" ht="16.5" customHeight="1">
      <c r="B58" s="58">
        <v>7</v>
      </c>
      <c r="C58" s="6" t="s">
        <v>145</v>
      </c>
      <c r="D58" s="59" t="s">
        <v>292</v>
      </c>
      <c r="E58" s="60">
        <v>10</v>
      </c>
      <c r="F58" s="61">
        <v>1</v>
      </c>
      <c r="G58" s="25">
        <f>IFERROR(VLOOKUP(C58,'🥬 식재료 DB'!$C$7:$H$121,6,0),"")</f>
        <v>14</v>
      </c>
      <c r="H58" s="62">
        <f t="shared" si="2"/>
        <v>140</v>
      </c>
      <c r="I58" s="63"/>
      <c r="J58" s="63"/>
    </row>
    <row r="59" spans="2:11" ht="16.5" customHeight="1">
      <c r="B59" s="58">
        <v>8</v>
      </c>
      <c r="C59" s="109" t="s">
        <v>301</v>
      </c>
      <c r="D59" s="59" t="s">
        <v>292</v>
      </c>
      <c r="E59" s="110">
        <v>10</v>
      </c>
      <c r="F59" s="111">
        <v>1</v>
      </c>
      <c r="G59" s="25" t="str">
        <f>IFERROR(VLOOKUP(C59,'🥬 식재료 DB'!$C$7:$H$121,6,0),"")</f>
        <v/>
      </c>
      <c r="H59" s="62" t="str">
        <f t="shared" si="2"/>
        <v/>
      </c>
      <c r="I59" s="112"/>
      <c r="J59" s="112"/>
    </row>
    <row r="60" spans="2:11" ht="16.5" customHeight="1">
      <c r="B60" s="58">
        <v>9</v>
      </c>
      <c r="C60" s="6" t="s">
        <v>168</v>
      </c>
      <c r="D60" s="59" t="s">
        <v>292</v>
      </c>
      <c r="E60" s="60">
        <v>5</v>
      </c>
      <c r="F60" s="61">
        <v>1</v>
      </c>
      <c r="G60" s="25">
        <f>IFERROR(VLOOKUP(C60,'🥬 식재료 DB'!$C$7:$H$121,6,0),"")</f>
        <v>1</v>
      </c>
      <c r="H60" s="62">
        <f t="shared" si="2"/>
        <v>5</v>
      </c>
      <c r="I60" s="63"/>
      <c r="J60" s="63"/>
    </row>
    <row r="61" spans="2:11" ht="16.5" customHeight="1">
      <c r="B61" s="58">
        <v>10</v>
      </c>
      <c r="C61" s="109" t="s">
        <v>167</v>
      </c>
      <c r="D61" s="59" t="s">
        <v>292</v>
      </c>
      <c r="E61" s="110">
        <v>5</v>
      </c>
      <c r="F61" s="111">
        <v>1</v>
      </c>
      <c r="G61" s="25">
        <f>IFERROR(VLOOKUP(C61,'🥬 식재료 DB'!$C$7:$H$121,6,0),"")</f>
        <v>3.0555555555555554</v>
      </c>
      <c r="H61" s="62">
        <f t="shared" si="2"/>
        <v>15.277777777777777</v>
      </c>
      <c r="I61" s="112"/>
      <c r="J61" s="112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112"/>
      <c r="J63" s="112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8"/>
      <c r="D65" s="72" t="s">
        <v>295</v>
      </c>
      <c r="E65" s="69"/>
      <c r="F65" s="70"/>
      <c r="G65" s="73" t="str">
        <f>IFERROR(VLOOKUP(C65,'🧪 프렙 원가표'!$C$8:$D$18,2,0),IFERROR(VLOOKUP(C65,'🥬 식재료 DB'!$C$7:$H$121,6,0),""))</f>
        <v/>
      </c>
      <c r="H65" s="74" t="str">
        <f>IFERROR(IF(AND(C65&lt;&gt;"",ISNUMBER(E65),ISNUMBER(F65),F65&gt;0,ISNUMBER(G65)),E65/F65*G65,""),"")</f>
        <v/>
      </c>
      <c r="I65" s="63"/>
      <c r="J65" s="63"/>
    </row>
    <row r="66" spans="2:11" ht="16.5" customHeight="1">
      <c r="B66" s="71">
        <v>14</v>
      </c>
      <c r="C66" s="68"/>
      <c r="D66" s="72" t="s">
        <v>295</v>
      </c>
      <c r="E66" s="69"/>
      <c r="F66" s="70"/>
      <c r="G66" s="73" t="str">
        <f>IFERROR(VLOOKUP(C66,'🧪 프렙 원가표'!$C$8:$D$18,2,0),IFERROR(VLOOKUP(C66,'🥬 식재료 DB'!$C$7:$H$121,6,0),""))</f>
        <v/>
      </c>
      <c r="H66" s="74" t="str">
        <f>IFERROR(IF(AND(C66&lt;&gt;"",ISNUMBER(E66),ISNUMBER(F66),F66&gt;0,ISNUMBER(G66)),E66/F66*G66,""),"")</f>
        <v/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382</v>
      </c>
      <c r="D71" s="50"/>
      <c r="E71" s="52">
        <v>10000</v>
      </c>
      <c r="F71" s="53">
        <f>IFERROR(SUM(H73,H74,H75,H76,H77,H78,H79,H80,H81,H82,H83,H84,H86,H87,H88,H89,H90),0)</f>
        <v>1002.014521011396</v>
      </c>
      <c r="G71" s="54">
        <f>IFERROR(E71*'💰 고정비용 DB'!$D$22/'💰 고정비용 DB'!$D$25,0)</f>
        <v>6602.9706598008152</v>
      </c>
      <c r="H71" s="55">
        <f>IFERROR(G71-F71,"")</f>
        <v>5600.9561387894191</v>
      </c>
      <c r="I71" s="56">
        <f>IFERROR(H71/E71,"")</f>
        <v>0.56009561387894191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381</v>
      </c>
      <c r="D73" s="59" t="s">
        <v>292</v>
      </c>
      <c r="E73" s="60">
        <v>100</v>
      </c>
      <c r="F73" s="61">
        <v>1</v>
      </c>
      <c r="G73" s="25" t="str">
        <f>IFERROR(VLOOKUP(C73,'🥬 식재료 DB'!$C$7:$H$121,6,0),"")</f>
        <v/>
      </c>
      <c r="H73" s="62" t="str">
        <f t="shared" ref="H73:H84" si="3">IFERROR(IF(AND(C73&lt;&gt;"",ISNUMBER(E73),ISNUMBER(F73),F73&gt;0,ISNUMBER(G73)),E73/F73*G73,""),"")</f>
        <v/>
      </c>
      <c r="I73" s="63"/>
      <c r="J73" s="63"/>
    </row>
    <row r="74" spans="2:11" ht="16.5" customHeight="1">
      <c r="B74" s="58">
        <v>2</v>
      </c>
      <c r="C74" s="109" t="s">
        <v>140</v>
      </c>
      <c r="D74" s="59" t="s">
        <v>292</v>
      </c>
      <c r="E74" s="110">
        <v>30</v>
      </c>
      <c r="F74" s="111">
        <v>1</v>
      </c>
      <c r="G74" s="25">
        <f>IFERROR(VLOOKUP(C74,'🥬 식재료 DB'!$C$7:$H$121,6,0),"")</f>
        <v>0.93333333333333335</v>
      </c>
      <c r="H74" s="62">
        <f t="shared" si="3"/>
        <v>28</v>
      </c>
      <c r="I74" s="112"/>
      <c r="J74" s="112"/>
    </row>
    <row r="75" spans="2:11" ht="16.5" customHeight="1">
      <c r="B75" s="58">
        <v>3</v>
      </c>
      <c r="C75" s="6" t="s">
        <v>223</v>
      </c>
      <c r="D75" s="59" t="s">
        <v>292</v>
      </c>
      <c r="E75" s="60">
        <v>30</v>
      </c>
      <c r="F75" s="61">
        <v>1</v>
      </c>
      <c r="G75" s="25">
        <f>IFERROR(VLOOKUP(C75,'🥬 식재료 DB'!$C$7:$H$121,6,0),"")</f>
        <v>10</v>
      </c>
      <c r="H75" s="62">
        <f t="shared" si="3"/>
        <v>300</v>
      </c>
      <c r="I75" s="63"/>
      <c r="J75" s="63"/>
    </row>
    <row r="76" spans="2:11" ht="16.5" customHeight="1">
      <c r="B76" s="58">
        <v>4</v>
      </c>
      <c r="C76" s="109" t="s">
        <v>218</v>
      </c>
      <c r="D76" s="59" t="s">
        <v>292</v>
      </c>
      <c r="E76" s="110">
        <v>50</v>
      </c>
      <c r="F76" s="111">
        <v>1</v>
      </c>
      <c r="G76" s="25">
        <f>IFERROR(VLOOKUP(C76,'🥬 식재료 DB'!$C$7:$H$121,6,0),"")</f>
        <v>6.666666666666667</v>
      </c>
      <c r="H76" s="62">
        <f t="shared" si="3"/>
        <v>333.33333333333337</v>
      </c>
      <c r="I76" s="112"/>
      <c r="J76" s="112"/>
    </row>
    <row r="77" spans="2:11" ht="16.5" customHeight="1">
      <c r="B77" s="58">
        <v>5</v>
      </c>
      <c r="C77" s="6" t="s">
        <v>242</v>
      </c>
      <c r="D77" s="59" t="s">
        <v>292</v>
      </c>
      <c r="E77" s="60">
        <v>5</v>
      </c>
      <c r="F77" s="61">
        <v>1</v>
      </c>
      <c r="G77" s="25">
        <f>IFERROR(VLOOKUP(C77,'🥬 식재료 DB'!$C$7:$H$121,6,0),"")</f>
        <v>9.9600000000000009</v>
      </c>
      <c r="H77" s="62">
        <f t="shared" si="3"/>
        <v>49.800000000000004</v>
      </c>
      <c r="I77" s="63"/>
      <c r="J77" s="63"/>
    </row>
    <row r="78" spans="2:11" ht="16.5" customHeight="1">
      <c r="B78" s="58">
        <v>6</v>
      </c>
      <c r="C78" s="109" t="s">
        <v>145</v>
      </c>
      <c r="D78" s="59" t="s">
        <v>292</v>
      </c>
      <c r="E78" s="110">
        <v>10</v>
      </c>
      <c r="F78" s="111">
        <v>1</v>
      </c>
      <c r="G78" s="25">
        <f>IFERROR(VLOOKUP(C78,'🥬 식재료 DB'!$C$7:$H$121,6,0),"")</f>
        <v>14</v>
      </c>
      <c r="H78" s="62">
        <f t="shared" si="3"/>
        <v>140</v>
      </c>
      <c r="I78" s="112"/>
      <c r="J78" s="112"/>
    </row>
    <row r="79" spans="2:11" ht="16.5" customHeight="1">
      <c r="B79" s="58">
        <v>7</v>
      </c>
      <c r="C79" s="6" t="s">
        <v>301</v>
      </c>
      <c r="D79" s="59" t="s">
        <v>292</v>
      </c>
      <c r="E79" s="60">
        <v>10</v>
      </c>
      <c r="F79" s="61">
        <v>1</v>
      </c>
      <c r="G79" s="25" t="str">
        <f>IFERROR(VLOOKUP(C79,'🥬 식재료 DB'!$C$7:$H$121,6,0),"")</f>
        <v/>
      </c>
      <c r="H79" s="62" t="str">
        <f t="shared" si="3"/>
        <v/>
      </c>
      <c r="I79" s="63"/>
      <c r="J79" s="63"/>
    </row>
    <row r="80" spans="2:11" ht="16.5" customHeight="1">
      <c r="B80" s="58">
        <v>8</v>
      </c>
      <c r="C80" s="109" t="s">
        <v>168</v>
      </c>
      <c r="D80" s="59" t="s">
        <v>292</v>
      </c>
      <c r="E80" s="110">
        <v>5</v>
      </c>
      <c r="F80" s="111">
        <v>1</v>
      </c>
      <c r="G80" s="25">
        <f>IFERROR(VLOOKUP(C80,'🥬 식재료 DB'!$C$7:$H$121,6,0),"")</f>
        <v>1</v>
      </c>
      <c r="H80" s="62">
        <f t="shared" si="3"/>
        <v>5</v>
      </c>
      <c r="I80" s="112"/>
      <c r="J80" s="112"/>
    </row>
    <row r="81" spans="2:11" ht="16.5" customHeight="1">
      <c r="B81" s="58">
        <v>9</v>
      </c>
      <c r="C81" s="68"/>
      <c r="D81" s="59" t="s">
        <v>292</v>
      </c>
      <c r="E81" s="69"/>
      <c r="F81" s="70"/>
      <c r="G81" s="25" t="str">
        <f>IFERROR(VLOOKUP(C81,'🥬 식재료 DB'!$C$7:$H$121,6,0),"")</f>
        <v/>
      </c>
      <c r="H81" s="62" t="str">
        <f t="shared" si="3"/>
        <v/>
      </c>
      <c r="I81" s="63"/>
      <c r="J81" s="63"/>
    </row>
    <row r="82" spans="2:11" ht="16.5" customHeight="1">
      <c r="B82" s="58">
        <v>10</v>
      </c>
      <c r="C82" s="68"/>
      <c r="D82" s="59" t="s">
        <v>292</v>
      </c>
      <c r="E82" s="69"/>
      <c r="F82" s="70"/>
      <c r="G82" s="25" t="str">
        <f>IFERROR(VLOOKUP(C82,'🥬 식재료 DB'!$C$7:$H$121,6,0),"")</f>
        <v/>
      </c>
      <c r="H82" s="62" t="str">
        <f t="shared" si="3"/>
        <v/>
      </c>
      <c r="I82" s="112"/>
      <c r="J82" s="112"/>
    </row>
    <row r="83" spans="2:11" ht="16.5" customHeight="1">
      <c r="B83" s="58">
        <v>11</v>
      </c>
      <c r="C83" s="68"/>
      <c r="D83" s="59" t="s">
        <v>292</v>
      </c>
      <c r="E83" s="69"/>
      <c r="F83" s="70"/>
      <c r="G83" s="25" t="str">
        <f>IFERROR(VLOOKUP(C83,'🥬 식재료 DB'!$C$7:$H$121,6,0),"")</f>
        <v/>
      </c>
      <c r="H83" s="62" t="str">
        <f t="shared" si="3"/>
        <v/>
      </c>
      <c r="I83" s="63"/>
      <c r="J83" s="63"/>
    </row>
    <row r="84" spans="2:11" ht="16.5" customHeight="1">
      <c r="B84" s="58">
        <v>12</v>
      </c>
      <c r="C84" s="68"/>
      <c r="D84" s="59" t="s">
        <v>292</v>
      </c>
      <c r="E84" s="69"/>
      <c r="F84" s="70"/>
      <c r="G84" s="25" t="str">
        <f>IFERROR(VLOOKUP(C84,'🥬 식재료 DB'!$C$7:$H$121,6,0),"")</f>
        <v/>
      </c>
      <c r="H84" s="62" t="str">
        <f t="shared" si="3"/>
        <v/>
      </c>
      <c r="I84" s="112"/>
      <c r="J84" s="112"/>
    </row>
    <row r="85" spans="2:11" ht="12.75" customHeight="1">
      <c r="B85" s="203" t="s">
        <v>293</v>
      </c>
      <c r="C85" s="203"/>
      <c r="D85" s="203"/>
      <c r="E85" s="203"/>
      <c r="F85" s="203"/>
      <c r="G85" s="203"/>
      <c r="H85" s="203"/>
      <c r="I85" s="203"/>
      <c r="J85" s="203"/>
      <c r="K85" s="203"/>
    </row>
    <row r="86" spans="2:11" ht="16.5" customHeight="1">
      <c r="B86" s="71">
        <v>13</v>
      </c>
      <c r="C86" s="6" t="s">
        <v>294</v>
      </c>
      <c r="D86" s="72" t="s">
        <v>295</v>
      </c>
      <c r="E86" s="60">
        <v>50</v>
      </c>
      <c r="F86" s="61">
        <v>1</v>
      </c>
      <c r="G86" s="73">
        <f>IFERROR(VLOOKUP(C86,'🧪 프렙 원가표'!$C$8:$D$18,2,0),IFERROR(VLOOKUP(C86,'🥬 식재료 DB'!$C$7:$H$121,6,0),""))</f>
        <v>2.9176237535612533</v>
      </c>
      <c r="H86" s="74">
        <f>IFERROR(IF(AND(C86&lt;&gt;"",ISNUMBER(E86),ISNUMBER(F86),F86&gt;0,ISNUMBER(G86)),E86/F86*G86,""),"")</f>
        <v>145.88118767806267</v>
      </c>
      <c r="I86" s="63"/>
      <c r="J86" s="63"/>
    </row>
    <row r="87" spans="2:11" ht="16.5" customHeight="1">
      <c r="B87" s="71">
        <v>14</v>
      </c>
      <c r="C87" s="68"/>
      <c r="D87" s="72" t="s">
        <v>295</v>
      </c>
      <c r="E87" s="69"/>
      <c r="F87" s="70"/>
      <c r="G87" s="73" t="str">
        <f>IFERROR(VLOOKUP(C87,'🧪 프렙 원가표'!$C$8:$D$18,2,0),IFERROR(VLOOKUP(C87,'🥬 식재료 DB'!$C$7:$H$121,6,0),""))</f>
        <v/>
      </c>
      <c r="H87" s="74" t="str">
        <f>IFERROR(IF(AND(C87&lt;&gt;"",ISNUMBER(E87),ISNUMBER(F87),F87&gt;0,ISNUMBER(G87)),E87/F87*G87,""),"")</f>
        <v/>
      </c>
      <c r="I87" s="77"/>
      <c r="J87" s="77"/>
    </row>
    <row r="88" spans="2:11" ht="16.5" customHeight="1">
      <c r="B88" s="71">
        <v>15</v>
      </c>
      <c r="C88" s="68"/>
      <c r="D88" s="72" t="s">
        <v>295</v>
      </c>
      <c r="E88" s="69"/>
      <c r="F88" s="70"/>
      <c r="G88" s="73" t="str">
        <f>IFERROR(VLOOKUP(C88,'🧪 프렙 원가표'!$C$8:$D$18,2,0),IFERROR(VLOOKUP(C88,'🥬 식재료 DB'!$C$7:$H$121,6,0),""))</f>
        <v/>
      </c>
      <c r="H88" s="74" t="str">
        <f>IFERROR(IF(AND(C88&lt;&gt;"",ISNUMBER(E88),ISNUMBER(F88),F88&gt;0,ISNUMBER(G88)),E88/F88*G88,""),"")</f>
        <v/>
      </c>
      <c r="I88" s="63"/>
      <c r="J88" s="63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77"/>
      <c r="J89" s="77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63"/>
      <c r="J90" s="63"/>
    </row>
    <row r="91" spans="2:11" ht="3.75" customHeight="1">
      <c r="B91" s="78"/>
      <c r="C91" s="78"/>
      <c r="D91" s="78"/>
      <c r="E91" s="78"/>
      <c r="F91" s="78"/>
      <c r="G91" s="78"/>
      <c r="H91" s="78"/>
      <c r="I91" s="78"/>
      <c r="J91" s="78"/>
      <c r="K91" s="78"/>
    </row>
    <row r="92" spans="2:11" ht="27" customHeight="1">
      <c r="B92" s="50"/>
      <c r="C92" s="51" t="s">
        <v>383</v>
      </c>
      <c r="D92" s="50"/>
      <c r="E92" s="52">
        <v>6000</v>
      </c>
      <c r="F92" s="53">
        <f>IFERROR(SUM(H94,H95,H96,H97,H98,H99,H100,H101,H102,H103,H104,H105,H107,H108,H109,H110,H111),0)</f>
        <v>623.75</v>
      </c>
      <c r="G92" s="54">
        <f>IFERROR(E92*'💰 고정비용 DB'!$D$22/'💰 고정비용 DB'!$D$25,0)</f>
        <v>3961.7823958804888</v>
      </c>
      <c r="H92" s="55">
        <f>IFERROR(G92-F92,"")</f>
        <v>3338.0323958804888</v>
      </c>
      <c r="I92" s="56">
        <f>IFERROR(H92/E92,"")</f>
        <v>0.55633873264674816</v>
      </c>
      <c r="J92" s="57" t="str">
        <f>IF(I92="","⬜ 미입력",IF(I92&lt;=0.2,"✅ 양호",IF(I92&lt;=0.32,"🟡 주의","🔴 과다")))</f>
        <v>🔴 과다</v>
      </c>
      <c r="K92" s="50"/>
    </row>
    <row r="93" spans="2:11" ht="12.75" customHeight="1">
      <c r="B93" s="204" t="s">
        <v>291</v>
      </c>
      <c r="C93" s="204"/>
      <c r="D93" s="204"/>
      <c r="E93" s="204"/>
      <c r="F93" s="204"/>
      <c r="G93" s="204"/>
      <c r="H93" s="204"/>
      <c r="I93" s="204"/>
      <c r="J93" s="204"/>
      <c r="K93" s="204"/>
    </row>
    <row r="94" spans="2:11" ht="16.5" customHeight="1">
      <c r="B94" s="58">
        <v>1</v>
      </c>
      <c r="C94" s="6" t="s">
        <v>138</v>
      </c>
      <c r="D94" s="59" t="s">
        <v>292</v>
      </c>
      <c r="E94" s="60">
        <v>70</v>
      </c>
      <c r="F94" s="61">
        <v>1</v>
      </c>
      <c r="G94" s="25">
        <f>IFERROR(VLOOKUP(C94,'🥬 식재료 DB'!$C$7:$H$121,6,0),"")</f>
        <v>1.25</v>
      </c>
      <c r="H94" s="62">
        <f t="shared" ref="H94:H105" si="4">IFERROR(IF(AND(C94&lt;&gt;"",ISNUMBER(E94),ISNUMBER(F94),F94&gt;0,ISNUMBER(G94)),E94/F94*G94,""),"")</f>
        <v>87.5</v>
      </c>
      <c r="I94" s="63"/>
      <c r="J94" s="63"/>
    </row>
    <row r="95" spans="2:11" ht="16.5" customHeight="1">
      <c r="B95" s="58">
        <v>2</v>
      </c>
      <c r="C95" s="109" t="s">
        <v>141</v>
      </c>
      <c r="D95" s="59" t="s">
        <v>292</v>
      </c>
      <c r="E95" s="110">
        <v>40</v>
      </c>
      <c r="F95" s="111">
        <v>1</v>
      </c>
      <c r="G95" s="25">
        <f>IFERROR(VLOOKUP(C95,'🥬 식재료 DB'!$C$7:$H$121,6,0),"")</f>
        <v>1.75</v>
      </c>
      <c r="H95" s="62">
        <f t="shared" si="4"/>
        <v>70</v>
      </c>
      <c r="I95" s="112"/>
      <c r="J95" s="112"/>
    </row>
    <row r="96" spans="2:11" ht="16.5" customHeight="1">
      <c r="B96" s="58">
        <v>3</v>
      </c>
      <c r="C96" s="6" t="s">
        <v>150</v>
      </c>
      <c r="D96" s="59" t="s">
        <v>292</v>
      </c>
      <c r="E96" s="60">
        <v>10</v>
      </c>
      <c r="F96" s="61">
        <v>1</v>
      </c>
      <c r="G96" s="25">
        <f>IFERROR(VLOOKUP(C96,'🥬 식재료 DB'!$C$7:$H$121,6,0),"")</f>
        <v>2.625</v>
      </c>
      <c r="H96" s="62">
        <f t="shared" si="4"/>
        <v>26.25</v>
      </c>
      <c r="I96" s="63"/>
      <c r="J96" s="63"/>
    </row>
    <row r="97" spans="2:11" ht="16.5" customHeight="1">
      <c r="B97" s="58">
        <v>4</v>
      </c>
      <c r="C97" s="113" t="s">
        <v>177</v>
      </c>
      <c r="D97" s="59" t="s">
        <v>292</v>
      </c>
      <c r="E97" s="110">
        <v>10</v>
      </c>
      <c r="F97" s="111">
        <v>1</v>
      </c>
      <c r="G97" s="25">
        <f>IFERROR(VLOOKUP(C97,'🥬 식재료 DB'!$C$7:$H$121,6,0),"")</f>
        <v>22.5</v>
      </c>
      <c r="H97" s="62">
        <f t="shared" si="4"/>
        <v>225</v>
      </c>
      <c r="I97" s="112"/>
      <c r="J97" s="112"/>
    </row>
    <row r="98" spans="2:11" ht="16.5" customHeight="1">
      <c r="B98" s="58">
        <v>5</v>
      </c>
      <c r="C98" s="17" t="s">
        <v>325</v>
      </c>
      <c r="D98" s="59" t="s">
        <v>292</v>
      </c>
      <c r="E98" s="60">
        <v>10</v>
      </c>
      <c r="F98" s="61">
        <v>1</v>
      </c>
      <c r="G98" s="25" t="str">
        <f>IFERROR(VLOOKUP(C98,'🥬 식재료 DB'!$C$7:$H$121,6,0),"")</f>
        <v/>
      </c>
      <c r="H98" s="62" t="str">
        <f t="shared" si="4"/>
        <v/>
      </c>
      <c r="I98" s="63"/>
      <c r="J98" s="63"/>
    </row>
    <row r="99" spans="2:11" ht="16.5" customHeight="1">
      <c r="B99" s="58">
        <v>6</v>
      </c>
      <c r="C99" s="109" t="s">
        <v>145</v>
      </c>
      <c r="D99" s="59" t="s">
        <v>292</v>
      </c>
      <c r="E99" s="110">
        <v>10</v>
      </c>
      <c r="F99" s="111">
        <v>1</v>
      </c>
      <c r="G99" s="25">
        <f>IFERROR(VLOOKUP(C99,'🥬 식재료 DB'!$C$7:$H$121,6,0),"")</f>
        <v>14</v>
      </c>
      <c r="H99" s="62">
        <f t="shared" si="4"/>
        <v>140</v>
      </c>
      <c r="I99" s="112"/>
      <c r="J99" s="112"/>
    </row>
    <row r="100" spans="2:11" ht="16.5" customHeight="1">
      <c r="B100" s="58">
        <v>7</v>
      </c>
      <c r="C100" s="6" t="s">
        <v>377</v>
      </c>
      <c r="D100" s="59" t="s">
        <v>292</v>
      </c>
      <c r="E100" s="60">
        <v>20</v>
      </c>
      <c r="F100" s="61">
        <v>1</v>
      </c>
      <c r="G100" s="25" t="str">
        <f>IFERROR(VLOOKUP(C100,'🥬 식재료 DB'!$C$7:$H$121,6,0),"")</f>
        <v/>
      </c>
      <c r="H100" s="62" t="str">
        <f t="shared" si="4"/>
        <v/>
      </c>
      <c r="I100" s="63"/>
      <c r="J100" s="63"/>
    </row>
    <row r="101" spans="2:11" ht="16.5" customHeight="1">
      <c r="B101" s="58">
        <v>8</v>
      </c>
      <c r="C101" s="109" t="s">
        <v>168</v>
      </c>
      <c r="D101" s="59" t="s">
        <v>292</v>
      </c>
      <c r="E101" s="110">
        <v>20</v>
      </c>
      <c r="F101" s="111">
        <v>1</v>
      </c>
      <c r="G101" s="25">
        <f>IFERROR(VLOOKUP(C101,'🥬 식재료 DB'!$C$7:$H$121,6,0),"")</f>
        <v>1</v>
      </c>
      <c r="H101" s="62">
        <f t="shared" si="4"/>
        <v>20</v>
      </c>
      <c r="I101" s="112"/>
      <c r="J101" s="112"/>
    </row>
    <row r="102" spans="2:11" ht="16.5" customHeight="1">
      <c r="B102" s="58">
        <v>9</v>
      </c>
      <c r="C102" s="6" t="s">
        <v>191</v>
      </c>
      <c r="D102" s="59" t="s">
        <v>292</v>
      </c>
      <c r="E102" s="60">
        <v>20</v>
      </c>
      <c r="F102" s="61">
        <v>1</v>
      </c>
      <c r="G102" s="25">
        <f>IFERROR(VLOOKUP(C102,'🥬 식재료 DB'!$C$7:$H$121,6,0),"")</f>
        <v>2.75</v>
      </c>
      <c r="H102" s="62">
        <f t="shared" si="4"/>
        <v>55</v>
      </c>
      <c r="I102" s="63"/>
      <c r="J102" s="63"/>
    </row>
    <row r="103" spans="2:11" ht="16.5" customHeight="1">
      <c r="B103" s="58">
        <v>10</v>
      </c>
      <c r="C103" s="68"/>
      <c r="D103" s="59" t="s">
        <v>292</v>
      </c>
      <c r="E103" s="69"/>
      <c r="F103" s="70"/>
      <c r="G103" s="25" t="str">
        <f>IFERROR(VLOOKUP(C103,'🥬 식재료 DB'!$C$7:$H$121,6,0),"")</f>
        <v/>
      </c>
      <c r="H103" s="62" t="str">
        <f t="shared" si="4"/>
        <v/>
      </c>
      <c r="I103" s="112"/>
      <c r="J103" s="112"/>
    </row>
    <row r="104" spans="2:11" ht="16.5" customHeight="1">
      <c r="B104" s="58">
        <v>11</v>
      </c>
      <c r="C104" s="68"/>
      <c r="D104" s="59" t="s">
        <v>292</v>
      </c>
      <c r="E104" s="69"/>
      <c r="F104" s="70"/>
      <c r="G104" s="25" t="str">
        <f>IFERROR(VLOOKUP(C104,'🥬 식재료 DB'!$C$7:$H$121,6,0),"")</f>
        <v/>
      </c>
      <c r="H104" s="62" t="str">
        <f t="shared" si="4"/>
        <v/>
      </c>
      <c r="I104" s="63"/>
      <c r="J104" s="63"/>
    </row>
    <row r="105" spans="2:11" ht="16.5" customHeight="1">
      <c r="B105" s="58">
        <v>12</v>
      </c>
      <c r="C105" s="68"/>
      <c r="D105" s="59" t="s">
        <v>292</v>
      </c>
      <c r="E105" s="69"/>
      <c r="F105" s="70"/>
      <c r="G105" s="25" t="str">
        <f>IFERROR(VLOOKUP(C105,'🥬 식재료 DB'!$C$7:$H$121,6,0),"")</f>
        <v/>
      </c>
      <c r="H105" s="62" t="str">
        <f t="shared" si="4"/>
        <v/>
      </c>
      <c r="I105" s="112"/>
      <c r="J105" s="112"/>
    </row>
    <row r="106" spans="2:11" ht="12.75" customHeight="1">
      <c r="B106" s="203" t="s">
        <v>293</v>
      </c>
      <c r="C106" s="203"/>
      <c r="D106" s="203"/>
      <c r="E106" s="203"/>
      <c r="F106" s="203"/>
      <c r="G106" s="203"/>
      <c r="H106" s="203"/>
      <c r="I106" s="203"/>
      <c r="J106" s="203"/>
      <c r="K106" s="203"/>
    </row>
    <row r="107" spans="2:11" ht="16.5" customHeight="1">
      <c r="B107" s="71">
        <v>13</v>
      </c>
      <c r="C107" s="68"/>
      <c r="D107" s="72" t="s">
        <v>295</v>
      </c>
      <c r="E107" s="69"/>
      <c r="F107" s="70"/>
      <c r="G107" s="73" t="str">
        <f>IFERROR(VLOOKUP(C107,'🧪 프렙 원가표'!$C$8:$D$18,2,0),IFERROR(VLOOKUP(C107,'🥬 식재료 DB'!$C$7:$H$121,6,0),""))</f>
        <v/>
      </c>
      <c r="H107" s="74" t="str">
        <f>IFERROR(IF(AND(C107&lt;&gt;"",ISNUMBER(E107),ISNUMBER(F107),F107&gt;0,ISNUMBER(G107)),E107/F107*G107,""),"")</f>
        <v/>
      </c>
      <c r="I107" s="63"/>
      <c r="J107" s="63"/>
    </row>
    <row r="108" spans="2:11" ht="16.5" customHeight="1">
      <c r="B108" s="71">
        <v>14</v>
      </c>
      <c r="C108" s="68"/>
      <c r="D108" s="72" t="s">
        <v>295</v>
      </c>
      <c r="E108" s="69"/>
      <c r="F108" s="70"/>
      <c r="G108" s="73" t="str">
        <f>IFERROR(VLOOKUP(C108,'🧪 프렙 원가표'!$C$8:$D$18,2,0),IFERROR(VLOOKUP(C108,'🥬 식재료 DB'!$C$7:$H$121,6,0),""))</f>
        <v/>
      </c>
      <c r="H108" s="74" t="str">
        <f>IFERROR(IF(AND(C108&lt;&gt;"",ISNUMBER(E108),ISNUMBER(F108),F108&gt;0,ISNUMBER(G108)),E108/F108*G108,""),"")</f>
        <v/>
      </c>
      <c r="I108" s="77"/>
      <c r="J108" s="77"/>
    </row>
    <row r="109" spans="2:11" ht="16.5" customHeight="1">
      <c r="B109" s="71">
        <v>15</v>
      </c>
      <c r="C109" s="68"/>
      <c r="D109" s="72" t="s">
        <v>295</v>
      </c>
      <c r="E109" s="69"/>
      <c r="F109" s="70"/>
      <c r="G109" s="73" t="str">
        <f>IFERROR(VLOOKUP(C109,'🧪 프렙 원가표'!$C$8:$D$18,2,0),IFERROR(VLOOKUP(C109,'🥬 식재료 DB'!$C$7:$H$121,6,0),""))</f>
        <v/>
      </c>
      <c r="H109" s="74" t="str">
        <f>IFERROR(IF(AND(C109&lt;&gt;"",ISNUMBER(E109),ISNUMBER(F109),F109&gt;0,ISNUMBER(G109)),E109/F109*G109,""),"")</f>
        <v/>
      </c>
      <c r="I109" s="63"/>
      <c r="J109" s="63"/>
    </row>
    <row r="110" spans="2:11" ht="16.5" customHeight="1">
      <c r="B110" s="71">
        <v>16</v>
      </c>
      <c r="C110" s="68"/>
      <c r="D110" s="72" t="s">
        <v>295</v>
      </c>
      <c r="E110" s="69"/>
      <c r="F110" s="70"/>
      <c r="G110" s="73" t="str">
        <f>IFERROR(VLOOKUP(C110,'🧪 프렙 원가표'!$C$8:$D$18,2,0),IFERROR(VLOOKUP(C110,'🥬 식재료 DB'!$C$7:$H$121,6,0),""))</f>
        <v/>
      </c>
      <c r="H110" s="74" t="str">
        <f>IFERROR(IF(AND(C110&lt;&gt;"",ISNUMBER(E110),ISNUMBER(F110),F110&gt;0,ISNUMBER(G110)),E110/F110*G110,""),"")</f>
        <v/>
      </c>
      <c r="I110" s="77"/>
      <c r="J110" s="77"/>
    </row>
    <row r="111" spans="2:11" ht="16.5" customHeight="1">
      <c r="B111" s="71">
        <v>17</v>
      </c>
      <c r="C111" s="68"/>
      <c r="D111" s="72" t="s">
        <v>295</v>
      </c>
      <c r="E111" s="69"/>
      <c r="F111" s="70"/>
      <c r="G111" s="73" t="str">
        <f>IFERROR(VLOOKUP(C111,'🧪 프렙 원가표'!$C$8:$D$18,2,0),IFERROR(VLOOKUP(C111,'🥬 식재료 DB'!$C$7:$H$121,6,0),""))</f>
        <v/>
      </c>
      <c r="H111" s="74" t="str">
        <f>IFERROR(IF(AND(C111&lt;&gt;"",ISNUMBER(E111),ISNUMBER(F111),F111&gt;0,ISNUMBER(G111)),E111/F111*G111,""),"")</f>
        <v/>
      </c>
      <c r="I111" s="63"/>
      <c r="J111" s="63"/>
    </row>
    <row r="112" spans="2:11" ht="3.75" customHeight="1">
      <c r="B112" s="78"/>
      <c r="C112" s="78"/>
      <c r="D112" s="78"/>
      <c r="E112" s="78"/>
      <c r="F112" s="78"/>
      <c r="G112" s="78"/>
      <c r="H112" s="78"/>
      <c r="I112" s="78"/>
      <c r="J112" s="78"/>
      <c r="K112" s="78"/>
    </row>
    <row r="113" spans="2:11" ht="27" customHeight="1">
      <c r="B113" s="50"/>
      <c r="C113" s="51" t="s">
        <v>384</v>
      </c>
      <c r="D113" s="50"/>
      <c r="E113" s="52">
        <v>12000</v>
      </c>
      <c r="F113" s="53">
        <f>IFERROR(SUM(H115,H116,H117,H118,H119,H120,H121,H122,H123,H124,H125,H126,H128,H129,H130,H131,H132),0)</f>
        <v>856.13333333333333</v>
      </c>
      <c r="G113" s="54">
        <f>IFERROR(E113*'💰 고정비용 DB'!$D$22/'💰 고정비용 DB'!$D$25,0)</f>
        <v>7923.5647917609776</v>
      </c>
      <c r="H113" s="55">
        <f>IFERROR(G113-F113,"")</f>
        <v>7067.4314584276444</v>
      </c>
      <c r="I113" s="56">
        <f>IFERROR(H113/E113,"")</f>
        <v>0.58895262153563699</v>
      </c>
      <c r="J113" s="57" t="str">
        <f>IF(I113="","⬜ 미입력",IF(I113&lt;=0.2,"✅ 양호",IF(I113&lt;=0.32,"🟡 주의","🔴 과다")))</f>
        <v>🔴 과다</v>
      </c>
      <c r="K113" s="50"/>
    </row>
    <row r="114" spans="2:11" ht="12.75" customHeight="1">
      <c r="B114" s="204" t="s">
        <v>291</v>
      </c>
      <c r="C114" s="204"/>
      <c r="D114" s="204"/>
      <c r="E114" s="204"/>
      <c r="F114" s="204"/>
      <c r="G114" s="204"/>
      <c r="H114" s="204"/>
      <c r="I114" s="204"/>
      <c r="J114" s="204"/>
      <c r="K114" s="204"/>
    </row>
    <row r="115" spans="2:11" ht="16.5" customHeight="1">
      <c r="B115" s="58">
        <v>1</v>
      </c>
      <c r="C115" s="6" t="s">
        <v>385</v>
      </c>
      <c r="D115" s="59" t="s">
        <v>292</v>
      </c>
      <c r="E115" s="60">
        <v>50</v>
      </c>
      <c r="F115" s="61">
        <v>1</v>
      </c>
      <c r="G115" s="25" t="str">
        <f>IFERROR(VLOOKUP(C115,'🥬 식재료 DB'!$C$7:$H$121,6,0),"")</f>
        <v/>
      </c>
      <c r="H115" s="62" t="str">
        <f t="shared" ref="H115:H126" si="5">IFERROR(IF(AND(C115&lt;&gt;"",ISNUMBER(E115),ISNUMBER(F115),F115&gt;0,ISNUMBER(G115)),E115/F115*G115,""),"")</f>
        <v/>
      </c>
      <c r="I115" s="63"/>
      <c r="J115" s="63"/>
    </row>
    <row r="116" spans="2:11" ht="16.5" customHeight="1">
      <c r="B116" s="58">
        <v>2</v>
      </c>
      <c r="C116" s="109" t="s">
        <v>140</v>
      </c>
      <c r="D116" s="59" t="s">
        <v>292</v>
      </c>
      <c r="E116" s="110">
        <v>30</v>
      </c>
      <c r="F116" s="111">
        <v>1</v>
      </c>
      <c r="G116" s="25">
        <f>IFERROR(VLOOKUP(C116,'🥬 식재료 DB'!$C$7:$H$121,6,0),"")</f>
        <v>0.93333333333333335</v>
      </c>
      <c r="H116" s="62">
        <f t="shared" si="5"/>
        <v>28</v>
      </c>
      <c r="I116" s="112"/>
      <c r="J116" s="112"/>
    </row>
    <row r="117" spans="2:11" ht="16.5" customHeight="1">
      <c r="B117" s="58">
        <v>3</v>
      </c>
      <c r="C117" s="6" t="s">
        <v>218</v>
      </c>
      <c r="D117" s="59" t="s">
        <v>292</v>
      </c>
      <c r="E117" s="60">
        <v>50</v>
      </c>
      <c r="F117" s="61">
        <v>1</v>
      </c>
      <c r="G117" s="25">
        <f>IFERROR(VLOOKUP(C117,'🥬 식재료 DB'!$C$7:$H$121,6,0),"")</f>
        <v>6.666666666666667</v>
      </c>
      <c r="H117" s="62">
        <f t="shared" si="5"/>
        <v>333.33333333333337</v>
      </c>
      <c r="I117" s="63"/>
      <c r="J117" s="63"/>
    </row>
    <row r="118" spans="2:11" ht="16.5" customHeight="1">
      <c r="B118" s="58">
        <v>4</v>
      </c>
      <c r="C118" s="109" t="s">
        <v>223</v>
      </c>
      <c r="D118" s="59" t="s">
        <v>292</v>
      </c>
      <c r="E118" s="110">
        <v>30</v>
      </c>
      <c r="F118" s="111">
        <v>1</v>
      </c>
      <c r="G118" s="25">
        <f>IFERROR(VLOOKUP(C118,'🥬 식재료 DB'!$C$7:$H$121,6,0),"")</f>
        <v>10</v>
      </c>
      <c r="H118" s="62">
        <f t="shared" si="5"/>
        <v>300</v>
      </c>
      <c r="I118" s="112"/>
      <c r="J118" s="112"/>
    </row>
    <row r="119" spans="2:11" ht="16.5" customHeight="1">
      <c r="B119" s="58">
        <v>5</v>
      </c>
      <c r="C119" s="6" t="s">
        <v>381</v>
      </c>
      <c r="D119" s="59" t="s">
        <v>292</v>
      </c>
      <c r="E119" s="60">
        <v>100</v>
      </c>
      <c r="F119" s="61">
        <v>1</v>
      </c>
      <c r="G119" s="25" t="str">
        <f>IFERROR(VLOOKUP(C119,'🥬 식재료 DB'!$C$7:$H$121,6,0),"")</f>
        <v/>
      </c>
      <c r="H119" s="62" t="str">
        <f t="shared" si="5"/>
        <v/>
      </c>
      <c r="I119" s="63"/>
      <c r="J119" s="63"/>
    </row>
    <row r="120" spans="2:11" ht="16.5" customHeight="1">
      <c r="B120" s="58">
        <v>6</v>
      </c>
      <c r="C120" s="109" t="s">
        <v>242</v>
      </c>
      <c r="D120" s="59" t="s">
        <v>292</v>
      </c>
      <c r="E120" s="110">
        <v>5</v>
      </c>
      <c r="F120" s="111">
        <v>1</v>
      </c>
      <c r="G120" s="25">
        <f>IFERROR(VLOOKUP(C120,'🥬 식재료 DB'!$C$7:$H$121,6,0),"")</f>
        <v>9.9600000000000009</v>
      </c>
      <c r="H120" s="62">
        <f t="shared" si="5"/>
        <v>49.800000000000004</v>
      </c>
      <c r="I120" s="112"/>
      <c r="J120" s="112"/>
    </row>
    <row r="121" spans="2:11" ht="16.5" customHeight="1">
      <c r="B121" s="58">
        <v>7</v>
      </c>
      <c r="C121" s="6" t="s">
        <v>145</v>
      </c>
      <c r="D121" s="59" t="s">
        <v>292</v>
      </c>
      <c r="E121" s="60">
        <v>10</v>
      </c>
      <c r="F121" s="61">
        <v>1</v>
      </c>
      <c r="G121" s="25">
        <f>IFERROR(VLOOKUP(C121,'🥬 식재료 DB'!$C$7:$H$121,6,0),"")</f>
        <v>14</v>
      </c>
      <c r="H121" s="62">
        <f t="shared" si="5"/>
        <v>140</v>
      </c>
      <c r="I121" s="63"/>
      <c r="J121" s="63"/>
    </row>
    <row r="122" spans="2:11" ht="16.5" customHeight="1">
      <c r="B122" s="58">
        <v>8</v>
      </c>
      <c r="C122" s="109" t="s">
        <v>168</v>
      </c>
      <c r="D122" s="59" t="s">
        <v>292</v>
      </c>
      <c r="E122" s="110">
        <v>5</v>
      </c>
      <c r="F122" s="111">
        <v>1</v>
      </c>
      <c r="G122" s="25">
        <f>IFERROR(VLOOKUP(C122,'🥬 식재료 DB'!$C$7:$H$121,6,0),"")</f>
        <v>1</v>
      </c>
      <c r="H122" s="62">
        <f t="shared" si="5"/>
        <v>5</v>
      </c>
      <c r="I122" s="112"/>
      <c r="J122" s="112"/>
    </row>
    <row r="123" spans="2:11" ht="16.5" customHeight="1">
      <c r="B123" s="58">
        <v>9</v>
      </c>
      <c r="C123" s="68"/>
      <c r="D123" s="59" t="s">
        <v>292</v>
      </c>
      <c r="E123" s="69"/>
      <c r="F123" s="70"/>
      <c r="G123" s="25" t="str">
        <f>IFERROR(VLOOKUP(C123,'🥬 식재료 DB'!$C$7:$H$121,6,0),"")</f>
        <v/>
      </c>
      <c r="H123" s="62" t="str">
        <f t="shared" si="5"/>
        <v/>
      </c>
      <c r="I123" s="63"/>
      <c r="J123" s="63"/>
    </row>
    <row r="124" spans="2:11" ht="16.5" customHeight="1">
      <c r="B124" s="58">
        <v>10</v>
      </c>
      <c r="C124" s="68"/>
      <c r="D124" s="59" t="s">
        <v>292</v>
      </c>
      <c r="E124" s="69"/>
      <c r="F124" s="70"/>
      <c r="G124" s="25" t="str">
        <f>IFERROR(VLOOKUP(C124,'🥬 식재료 DB'!$C$7:$H$121,6,0),"")</f>
        <v/>
      </c>
      <c r="H124" s="62" t="str">
        <f t="shared" si="5"/>
        <v/>
      </c>
      <c r="I124" s="112"/>
      <c r="J124" s="112"/>
    </row>
    <row r="125" spans="2:11" ht="16.5" customHeight="1">
      <c r="B125" s="58">
        <v>11</v>
      </c>
      <c r="C125" s="68"/>
      <c r="D125" s="59" t="s">
        <v>292</v>
      </c>
      <c r="E125" s="69"/>
      <c r="F125" s="70"/>
      <c r="G125" s="25" t="str">
        <f>IFERROR(VLOOKUP(C125,'🥬 식재료 DB'!$C$7:$H$121,6,0),"")</f>
        <v/>
      </c>
      <c r="H125" s="62" t="str">
        <f t="shared" si="5"/>
        <v/>
      </c>
      <c r="I125" s="63"/>
      <c r="J125" s="63"/>
    </row>
    <row r="126" spans="2:11" ht="16.5" customHeight="1">
      <c r="B126" s="58">
        <v>12</v>
      </c>
      <c r="C126" s="68"/>
      <c r="D126" s="59" t="s">
        <v>292</v>
      </c>
      <c r="E126" s="69"/>
      <c r="F126" s="70"/>
      <c r="G126" s="25" t="str">
        <f>IFERROR(VLOOKUP(C126,'🥬 식재료 DB'!$C$7:$H$121,6,0),"")</f>
        <v/>
      </c>
      <c r="H126" s="62" t="str">
        <f t="shared" si="5"/>
        <v/>
      </c>
      <c r="I126" s="112"/>
      <c r="J126" s="112"/>
    </row>
    <row r="127" spans="2:11" ht="12.75" customHeight="1">
      <c r="B127" s="203" t="s">
        <v>293</v>
      </c>
      <c r="C127" s="203"/>
      <c r="D127" s="203"/>
      <c r="E127" s="203"/>
      <c r="F127" s="203"/>
      <c r="G127" s="203"/>
      <c r="H127" s="203"/>
      <c r="I127" s="203"/>
      <c r="J127" s="203"/>
      <c r="K127" s="203"/>
    </row>
    <row r="128" spans="2:11" ht="16.5" customHeight="1">
      <c r="B128" s="71">
        <v>13</v>
      </c>
      <c r="C128" s="68"/>
      <c r="D128" s="72" t="s">
        <v>295</v>
      </c>
      <c r="E128" s="69"/>
      <c r="F128" s="70"/>
      <c r="G128" s="73" t="str">
        <f>IFERROR(VLOOKUP(C128,'🧪 프렙 원가표'!$C$8:$D$18,2,0),IFERROR(VLOOKUP(C128,'🥬 식재료 DB'!$C$7:$H$121,6,0),""))</f>
        <v/>
      </c>
      <c r="H128" s="74" t="str">
        <f>IFERROR(IF(AND(C128&lt;&gt;"",ISNUMBER(E128),ISNUMBER(F128),F128&gt;0,ISNUMBER(G128)),E128/F128*G128,""),"")</f>
        <v/>
      </c>
      <c r="I128" s="63"/>
      <c r="J128" s="63"/>
    </row>
    <row r="129" spans="2:11" ht="16.5" customHeight="1">
      <c r="B129" s="71">
        <v>14</v>
      </c>
      <c r="C129" s="68"/>
      <c r="D129" s="72" t="s">
        <v>295</v>
      </c>
      <c r="E129" s="69"/>
      <c r="F129" s="70"/>
      <c r="G129" s="73" t="str">
        <f>IFERROR(VLOOKUP(C129,'🧪 프렙 원가표'!$C$8:$D$18,2,0),IFERROR(VLOOKUP(C129,'🥬 식재료 DB'!$C$7:$H$121,6,0),""))</f>
        <v/>
      </c>
      <c r="H129" s="74" t="str">
        <f>IFERROR(IF(AND(C129&lt;&gt;"",ISNUMBER(E129),ISNUMBER(F129),F129&gt;0,ISNUMBER(G129)),E129/F129*G129,""),"")</f>
        <v/>
      </c>
      <c r="I129" s="77"/>
      <c r="J129" s="77"/>
    </row>
    <row r="130" spans="2:11" ht="16.5" customHeight="1">
      <c r="B130" s="71">
        <v>15</v>
      </c>
      <c r="C130" s="68"/>
      <c r="D130" s="72" t="s">
        <v>295</v>
      </c>
      <c r="E130" s="69"/>
      <c r="F130" s="70"/>
      <c r="G130" s="73" t="str">
        <f>IFERROR(VLOOKUP(C130,'🧪 프렙 원가표'!$C$8:$D$18,2,0),IFERROR(VLOOKUP(C130,'🥬 식재료 DB'!$C$7:$H$121,6,0),""))</f>
        <v/>
      </c>
      <c r="H130" s="74" t="str">
        <f>IFERROR(IF(AND(C130&lt;&gt;"",ISNUMBER(E130),ISNUMBER(F130),F130&gt;0,ISNUMBER(G130)),E130/F130*G130,""),"")</f>
        <v/>
      </c>
      <c r="I130" s="63"/>
      <c r="J130" s="63"/>
    </row>
    <row r="131" spans="2:11" ht="16.5" customHeight="1">
      <c r="B131" s="71">
        <v>16</v>
      </c>
      <c r="C131" s="68"/>
      <c r="D131" s="72" t="s">
        <v>295</v>
      </c>
      <c r="E131" s="69"/>
      <c r="F131" s="70"/>
      <c r="G131" s="73" t="str">
        <f>IFERROR(VLOOKUP(C131,'🧪 프렙 원가표'!$C$8:$D$18,2,0),IFERROR(VLOOKUP(C131,'🥬 식재료 DB'!$C$7:$H$121,6,0),""))</f>
        <v/>
      </c>
      <c r="H131" s="74" t="str">
        <f>IFERROR(IF(AND(C131&lt;&gt;"",ISNUMBER(E131),ISNUMBER(F131),F131&gt;0,ISNUMBER(G131)),E131/F131*G131,""),"")</f>
        <v/>
      </c>
      <c r="I131" s="77"/>
      <c r="J131" s="77"/>
    </row>
    <row r="132" spans="2:11" ht="16.5" customHeight="1">
      <c r="B132" s="71">
        <v>17</v>
      </c>
      <c r="C132" s="68"/>
      <c r="D132" s="72" t="s">
        <v>295</v>
      </c>
      <c r="E132" s="69"/>
      <c r="F132" s="70"/>
      <c r="G132" s="73" t="str">
        <f>IFERROR(VLOOKUP(C132,'🧪 프렙 원가표'!$C$8:$D$18,2,0),IFERROR(VLOOKUP(C132,'🥬 식재료 DB'!$C$7:$H$121,6,0),""))</f>
        <v/>
      </c>
      <c r="H132" s="74" t="str">
        <f>IFERROR(IF(AND(C132&lt;&gt;"",ISNUMBER(E132),ISNUMBER(F132),F132&gt;0,ISNUMBER(G132)),E132/F132*G132,""),"")</f>
        <v/>
      </c>
      <c r="I132" s="63"/>
      <c r="J132" s="63"/>
    </row>
    <row r="133" spans="2:11" ht="3.75" customHeight="1">
      <c r="B133" s="78"/>
      <c r="C133" s="78"/>
      <c r="D133" s="78"/>
      <c r="E133" s="78"/>
      <c r="F133" s="78"/>
      <c r="G133" s="78"/>
      <c r="H133" s="78"/>
      <c r="I133" s="78"/>
      <c r="J133" s="78"/>
      <c r="K133" s="78"/>
    </row>
    <row r="134" spans="2:11" ht="27" customHeight="1">
      <c r="B134" s="50"/>
      <c r="C134" s="51" t="s">
        <v>386</v>
      </c>
      <c r="D134" s="50"/>
      <c r="E134" s="52">
        <v>5000</v>
      </c>
      <c r="F134" s="53">
        <f>IFERROR(SUM(H136,H137,H138,H139,H140,H141,H142,H143,H144,H145,H146,H147,H149,H150,H151,H152,H153),0)</f>
        <v>5</v>
      </c>
      <c r="G134" s="54">
        <f>IFERROR(E134*'💰 고정비용 DB'!$D$22/'💰 고정비용 DB'!$D$25,0)</f>
        <v>3301.4853299004076</v>
      </c>
      <c r="H134" s="55">
        <f>IFERROR(G134-F134,"")</f>
        <v>3296.4853299004076</v>
      </c>
      <c r="I134" s="56">
        <f>IFERROR(H134/E134,"")</f>
        <v>0.65929706598008153</v>
      </c>
      <c r="J134" s="57" t="str">
        <f>IF(I134="","⬜ 미입력",IF(I134&lt;=0.2,"✅ 양호",IF(I134&lt;=0.32,"🟡 주의","🔴 과다")))</f>
        <v>🔴 과다</v>
      </c>
      <c r="K134" s="50"/>
    </row>
    <row r="135" spans="2:11" ht="12.75" customHeight="1">
      <c r="B135" s="204" t="s">
        <v>291</v>
      </c>
      <c r="C135" s="204"/>
      <c r="D135" s="204"/>
      <c r="E135" s="204"/>
      <c r="F135" s="204"/>
      <c r="G135" s="204"/>
      <c r="H135" s="204"/>
      <c r="I135" s="204"/>
      <c r="J135" s="204"/>
      <c r="K135" s="204"/>
    </row>
    <row r="136" spans="2:11" ht="16.5" customHeight="1">
      <c r="B136" s="58">
        <v>1</v>
      </c>
      <c r="C136" s="6" t="s">
        <v>387</v>
      </c>
      <c r="D136" s="59" t="s">
        <v>292</v>
      </c>
      <c r="E136" s="60">
        <v>250</v>
      </c>
      <c r="F136" s="61">
        <v>1</v>
      </c>
      <c r="G136" s="25" t="str">
        <f>IFERROR(VLOOKUP(C136,'🥬 식재료 DB'!$C$7:$H$121,6,0),"")</f>
        <v/>
      </c>
      <c r="H136" s="62" t="str">
        <f t="shared" ref="H136:H147" si="6">IFERROR(IF(AND(C136&lt;&gt;"",ISNUMBER(E136),ISNUMBER(F136),F136&gt;0,ISNUMBER(G136)),E136/F136*G136,""),"")</f>
        <v/>
      </c>
      <c r="I136" s="63"/>
      <c r="J136" s="63"/>
    </row>
    <row r="137" spans="2:11" ht="16.5" customHeight="1">
      <c r="B137" s="58">
        <v>2</v>
      </c>
      <c r="C137" s="109" t="s">
        <v>388</v>
      </c>
      <c r="D137" s="59" t="s">
        <v>292</v>
      </c>
      <c r="E137" s="110">
        <v>30</v>
      </c>
      <c r="F137" s="111">
        <v>1</v>
      </c>
      <c r="G137" s="25" t="str">
        <f>IFERROR(VLOOKUP(C137,'🥬 식재료 DB'!$C$7:$H$121,6,0),"")</f>
        <v/>
      </c>
      <c r="H137" s="62" t="str">
        <f t="shared" si="6"/>
        <v/>
      </c>
      <c r="I137" s="112"/>
      <c r="J137" s="112"/>
    </row>
    <row r="138" spans="2:11" ht="16.5" customHeight="1">
      <c r="B138" s="58">
        <v>3</v>
      </c>
      <c r="C138" s="6" t="s">
        <v>168</v>
      </c>
      <c r="D138" s="59" t="s">
        <v>292</v>
      </c>
      <c r="E138" s="60">
        <v>5</v>
      </c>
      <c r="F138" s="61">
        <v>1</v>
      </c>
      <c r="G138" s="25">
        <f>IFERROR(VLOOKUP(C138,'🥬 식재료 DB'!$C$7:$H$121,6,0),"")</f>
        <v>1</v>
      </c>
      <c r="H138" s="62">
        <f t="shared" si="6"/>
        <v>5</v>
      </c>
      <c r="I138" s="63"/>
      <c r="J138" s="63"/>
    </row>
    <row r="139" spans="2:11" ht="16.5" customHeight="1">
      <c r="B139" s="58">
        <v>4</v>
      </c>
      <c r="C139" s="68"/>
      <c r="D139" s="59" t="s">
        <v>292</v>
      </c>
      <c r="E139" s="69"/>
      <c r="F139" s="70"/>
      <c r="G139" s="25" t="str">
        <f>IFERROR(VLOOKUP(C139,'🥬 식재료 DB'!$C$7:$H$121,6,0),"")</f>
        <v/>
      </c>
      <c r="H139" s="62" t="str">
        <f t="shared" si="6"/>
        <v/>
      </c>
      <c r="I139" s="112"/>
      <c r="J139" s="112"/>
    </row>
    <row r="140" spans="2:11" ht="16.5" customHeight="1">
      <c r="B140" s="58">
        <v>5</v>
      </c>
      <c r="C140" s="68"/>
      <c r="D140" s="59" t="s">
        <v>292</v>
      </c>
      <c r="E140" s="69"/>
      <c r="F140" s="70"/>
      <c r="G140" s="25" t="str">
        <f>IFERROR(VLOOKUP(C140,'🥬 식재료 DB'!$C$7:$H$121,6,0),"")</f>
        <v/>
      </c>
      <c r="H140" s="62" t="str">
        <f t="shared" si="6"/>
        <v/>
      </c>
      <c r="I140" s="63"/>
      <c r="J140" s="63"/>
    </row>
    <row r="141" spans="2:11" ht="16.5" customHeight="1">
      <c r="B141" s="58">
        <v>6</v>
      </c>
      <c r="C141" s="68"/>
      <c r="D141" s="59" t="s">
        <v>292</v>
      </c>
      <c r="E141" s="69"/>
      <c r="F141" s="70"/>
      <c r="G141" s="25" t="str">
        <f>IFERROR(VLOOKUP(C141,'🥬 식재료 DB'!$C$7:$H$121,6,0),"")</f>
        <v/>
      </c>
      <c r="H141" s="62" t="str">
        <f t="shared" si="6"/>
        <v/>
      </c>
      <c r="I141" s="112"/>
      <c r="J141" s="112"/>
    </row>
    <row r="142" spans="2:11" ht="16.5" customHeight="1">
      <c r="B142" s="58">
        <v>7</v>
      </c>
      <c r="C142" s="68"/>
      <c r="D142" s="59" t="s">
        <v>292</v>
      </c>
      <c r="E142" s="69"/>
      <c r="F142" s="70"/>
      <c r="G142" s="25" t="str">
        <f>IFERROR(VLOOKUP(C142,'🥬 식재료 DB'!$C$7:$H$121,6,0),"")</f>
        <v/>
      </c>
      <c r="H142" s="62" t="str">
        <f t="shared" si="6"/>
        <v/>
      </c>
      <c r="I142" s="63"/>
      <c r="J142" s="63"/>
    </row>
    <row r="143" spans="2:11" ht="16.5" customHeight="1">
      <c r="B143" s="58">
        <v>8</v>
      </c>
      <c r="C143" s="68"/>
      <c r="D143" s="59" t="s">
        <v>292</v>
      </c>
      <c r="E143" s="69"/>
      <c r="F143" s="70"/>
      <c r="G143" s="25" t="str">
        <f>IFERROR(VLOOKUP(C143,'🥬 식재료 DB'!$C$7:$H$121,6,0),"")</f>
        <v/>
      </c>
      <c r="H143" s="62" t="str">
        <f t="shared" si="6"/>
        <v/>
      </c>
      <c r="I143" s="112"/>
      <c r="J143" s="112"/>
    </row>
    <row r="144" spans="2:11" ht="16.5" customHeight="1">
      <c r="B144" s="58">
        <v>9</v>
      </c>
      <c r="C144" s="68"/>
      <c r="D144" s="59" t="s">
        <v>292</v>
      </c>
      <c r="E144" s="69"/>
      <c r="F144" s="70"/>
      <c r="G144" s="25" t="str">
        <f>IFERROR(VLOOKUP(C144,'🥬 식재료 DB'!$C$7:$H$121,6,0),"")</f>
        <v/>
      </c>
      <c r="H144" s="62" t="str">
        <f t="shared" si="6"/>
        <v/>
      </c>
      <c r="I144" s="63"/>
      <c r="J144" s="63"/>
    </row>
    <row r="145" spans="2:11" ht="16.5" customHeight="1">
      <c r="B145" s="58">
        <v>10</v>
      </c>
      <c r="C145" s="68"/>
      <c r="D145" s="59" t="s">
        <v>292</v>
      </c>
      <c r="E145" s="69"/>
      <c r="F145" s="70"/>
      <c r="G145" s="25" t="str">
        <f>IFERROR(VLOOKUP(C145,'🥬 식재료 DB'!$C$7:$H$121,6,0),"")</f>
        <v/>
      </c>
      <c r="H145" s="62" t="str">
        <f t="shared" si="6"/>
        <v/>
      </c>
      <c r="I145" s="112"/>
      <c r="J145" s="112"/>
    </row>
    <row r="146" spans="2:11" ht="16.5" customHeight="1">
      <c r="B146" s="58">
        <v>11</v>
      </c>
      <c r="C146" s="68"/>
      <c r="D146" s="59" t="s">
        <v>292</v>
      </c>
      <c r="E146" s="69"/>
      <c r="F146" s="70"/>
      <c r="G146" s="25" t="str">
        <f>IFERROR(VLOOKUP(C146,'🥬 식재료 DB'!$C$7:$H$121,6,0),"")</f>
        <v/>
      </c>
      <c r="H146" s="62" t="str">
        <f t="shared" si="6"/>
        <v/>
      </c>
      <c r="I146" s="63"/>
      <c r="J146" s="63"/>
    </row>
    <row r="147" spans="2:11" ht="16.5" customHeight="1">
      <c r="B147" s="58">
        <v>12</v>
      </c>
      <c r="C147" s="68"/>
      <c r="D147" s="59" t="s">
        <v>292</v>
      </c>
      <c r="E147" s="69"/>
      <c r="F147" s="70"/>
      <c r="G147" s="25" t="str">
        <f>IFERROR(VLOOKUP(C147,'🥬 식재료 DB'!$C$7:$H$121,6,0),"")</f>
        <v/>
      </c>
      <c r="H147" s="62" t="str">
        <f t="shared" si="6"/>
        <v/>
      </c>
      <c r="I147" s="112"/>
      <c r="J147" s="112"/>
    </row>
    <row r="148" spans="2:11" ht="12.75" customHeight="1">
      <c r="B148" s="203" t="s">
        <v>293</v>
      </c>
      <c r="C148" s="203"/>
      <c r="D148" s="203"/>
      <c r="E148" s="203"/>
      <c r="F148" s="203"/>
      <c r="G148" s="203"/>
      <c r="H148" s="203"/>
      <c r="I148" s="203"/>
      <c r="J148" s="203"/>
      <c r="K148" s="203"/>
    </row>
    <row r="149" spans="2:11" ht="16.5" customHeight="1">
      <c r="B149" s="71">
        <v>13</v>
      </c>
      <c r="C149" s="68"/>
      <c r="D149" s="72" t="s">
        <v>295</v>
      </c>
      <c r="E149" s="69"/>
      <c r="F149" s="70"/>
      <c r="G149" s="73" t="str">
        <f>IFERROR(VLOOKUP(C149,'🧪 프렙 원가표'!$C$8:$D$18,2,0),IFERROR(VLOOKUP(C149,'🥬 식재료 DB'!$C$7:$H$121,6,0),""))</f>
        <v/>
      </c>
      <c r="H149" s="74" t="str">
        <f>IFERROR(IF(AND(C149&lt;&gt;"",ISNUMBER(E149),ISNUMBER(F149),F149&gt;0,ISNUMBER(G149)),E149/F149*G149,""),"")</f>
        <v/>
      </c>
      <c r="I149" s="63"/>
      <c r="J149" s="63"/>
    </row>
    <row r="150" spans="2:11" ht="16.5" customHeight="1">
      <c r="B150" s="71">
        <v>14</v>
      </c>
      <c r="C150" s="68"/>
      <c r="D150" s="72" t="s">
        <v>295</v>
      </c>
      <c r="E150" s="69"/>
      <c r="F150" s="70"/>
      <c r="G150" s="73" t="str">
        <f>IFERROR(VLOOKUP(C150,'🧪 프렙 원가표'!$C$8:$D$18,2,0),IFERROR(VLOOKUP(C150,'🥬 식재료 DB'!$C$7:$H$121,6,0),""))</f>
        <v/>
      </c>
      <c r="H150" s="74" t="str">
        <f>IFERROR(IF(AND(C150&lt;&gt;"",ISNUMBER(E150),ISNUMBER(F150),F150&gt;0,ISNUMBER(G150)),E150/F150*G150,""),"")</f>
        <v/>
      </c>
      <c r="I150" s="77"/>
      <c r="J150" s="77"/>
    </row>
    <row r="151" spans="2:11" ht="16.5" customHeight="1">
      <c r="B151" s="71">
        <v>15</v>
      </c>
      <c r="C151" s="68"/>
      <c r="D151" s="72" t="s">
        <v>295</v>
      </c>
      <c r="E151" s="69"/>
      <c r="F151" s="70"/>
      <c r="G151" s="73" t="str">
        <f>IFERROR(VLOOKUP(C151,'🧪 프렙 원가표'!$C$8:$D$18,2,0),IFERROR(VLOOKUP(C151,'🥬 식재료 DB'!$C$7:$H$121,6,0),""))</f>
        <v/>
      </c>
      <c r="H151" s="74" t="str">
        <f>IFERROR(IF(AND(C151&lt;&gt;"",ISNUMBER(E151),ISNUMBER(F151),F151&gt;0,ISNUMBER(G151)),E151/F151*G151,""),"")</f>
        <v/>
      </c>
      <c r="I151" s="63"/>
      <c r="J151" s="63"/>
    </row>
    <row r="152" spans="2:11" ht="16.5" customHeight="1">
      <c r="B152" s="71">
        <v>16</v>
      </c>
      <c r="C152" s="68"/>
      <c r="D152" s="72" t="s">
        <v>295</v>
      </c>
      <c r="E152" s="69"/>
      <c r="F152" s="70"/>
      <c r="G152" s="73" t="str">
        <f>IFERROR(VLOOKUP(C152,'🧪 프렙 원가표'!$C$8:$D$18,2,0),IFERROR(VLOOKUP(C152,'🥬 식재료 DB'!$C$7:$H$121,6,0),""))</f>
        <v/>
      </c>
      <c r="H152" s="74" t="str">
        <f>IFERROR(IF(AND(C152&lt;&gt;"",ISNUMBER(E152),ISNUMBER(F152),F152&gt;0,ISNUMBER(G152)),E152/F152*G152,""),"")</f>
        <v/>
      </c>
      <c r="I152" s="77"/>
      <c r="J152" s="77"/>
    </row>
    <row r="153" spans="2:11" ht="16.5" customHeight="1">
      <c r="B153" s="71">
        <v>17</v>
      </c>
      <c r="C153" s="68"/>
      <c r="D153" s="72" t="s">
        <v>295</v>
      </c>
      <c r="E153" s="69"/>
      <c r="F153" s="70"/>
      <c r="G153" s="73" t="str">
        <f>IFERROR(VLOOKUP(C153,'🧪 프렙 원가표'!$C$8:$D$18,2,0),IFERROR(VLOOKUP(C153,'🥬 식재료 DB'!$C$7:$H$121,6,0),""))</f>
        <v/>
      </c>
      <c r="H153" s="74" t="str">
        <f>IFERROR(IF(AND(C153&lt;&gt;"",ISNUMBER(E153),ISNUMBER(F153),F153&gt;0,ISNUMBER(G153)),E153/F153*G153,""),"")</f>
        <v/>
      </c>
      <c r="I153" s="63"/>
      <c r="J153" s="63"/>
    </row>
    <row r="154" spans="2:11" ht="3.75" customHeight="1">
      <c r="B154" s="78"/>
      <c r="C154" s="78"/>
      <c r="D154" s="78"/>
      <c r="E154" s="78"/>
      <c r="F154" s="78"/>
      <c r="G154" s="78"/>
      <c r="H154" s="78"/>
      <c r="I154" s="78"/>
      <c r="J154" s="78"/>
      <c r="K154" s="78"/>
    </row>
    <row r="155" spans="2:11" ht="27" customHeight="1">
      <c r="B155" s="50"/>
      <c r="C155" s="51" t="s">
        <v>389</v>
      </c>
      <c r="D155" s="50"/>
      <c r="E155" s="52">
        <v>13000</v>
      </c>
      <c r="F155" s="53">
        <f>IFERROR(SUM(H157,H158,H159,H160,H161,H162,H163,H164,H165,H166,H167,H168,H170,H171,H172,H173,H174),0)</f>
        <v>360</v>
      </c>
      <c r="G155" s="54">
        <f>IFERROR(E155*'💰 고정비용 DB'!$D$22/'💰 고정비용 DB'!$D$25,0)</f>
        <v>8583.8618577410598</v>
      </c>
      <c r="H155" s="55">
        <f>IFERROR(G155-F155,"")</f>
        <v>8223.8618577410598</v>
      </c>
      <c r="I155" s="56">
        <f>IFERROR(H155/E155,"")</f>
        <v>0.63260475828777385</v>
      </c>
      <c r="J155" s="57" t="str">
        <f>IF(I155="","⬜ 미입력",IF(I155&lt;=0.2,"✅ 양호",IF(I155&lt;=0.32,"🟡 주의","🔴 과다")))</f>
        <v>🔴 과다</v>
      </c>
      <c r="K155" s="50"/>
    </row>
    <row r="156" spans="2:11" ht="12.75" customHeight="1">
      <c r="B156" s="204" t="s">
        <v>291</v>
      </c>
      <c r="C156" s="204"/>
      <c r="D156" s="204"/>
      <c r="E156" s="204"/>
      <c r="F156" s="204"/>
      <c r="G156" s="204"/>
      <c r="H156" s="204"/>
      <c r="I156" s="204"/>
      <c r="J156" s="204"/>
      <c r="K156" s="204"/>
    </row>
    <row r="157" spans="2:11" ht="16.5" customHeight="1">
      <c r="B157" s="58">
        <v>1</v>
      </c>
      <c r="C157" s="17" t="s">
        <v>390</v>
      </c>
      <c r="D157" s="59" t="s">
        <v>292</v>
      </c>
      <c r="E157" s="60">
        <v>50</v>
      </c>
      <c r="F157" s="61">
        <v>1</v>
      </c>
      <c r="G157" s="25" t="str">
        <f>IFERROR(VLOOKUP(C157,'🥬 식재료 DB'!$C$7:$H$121,6,0),"")</f>
        <v/>
      </c>
      <c r="H157" s="62" t="str">
        <f t="shared" ref="H157:H168" si="7">IFERROR(IF(AND(C157&lt;&gt;"",ISNUMBER(E157),ISNUMBER(F157),F157&gt;0,ISNUMBER(G157)),E157/F157*G157,""),"")</f>
        <v/>
      </c>
      <c r="I157" s="63"/>
      <c r="J157" s="63"/>
    </row>
    <row r="158" spans="2:11" ht="16.5" customHeight="1">
      <c r="B158" s="58">
        <v>2</v>
      </c>
      <c r="C158" s="109" t="s">
        <v>155</v>
      </c>
      <c r="D158" s="59" t="s">
        <v>292</v>
      </c>
      <c r="E158" s="110">
        <v>70</v>
      </c>
      <c r="F158" s="111">
        <v>1</v>
      </c>
      <c r="G158" s="25">
        <f>IFERROR(VLOOKUP(C158,'🥬 식재료 DB'!$C$7:$H$121,6,0),"")</f>
        <v>5</v>
      </c>
      <c r="H158" s="62">
        <f t="shared" si="7"/>
        <v>350</v>
      </c>
      <c r="I158" s="112"/>
      <c r="J158" s="112"/>
    </row>
    <row r="159" spans="2:11" ht="16.5" customHeight="1">
      <c r="B159" s="58">
        <v>3</v>
      </c>
      <c r="C159" s="6" t="s">
        <v>303</v>
      </c>
      <c r="D159" s="59" t="s">
        <v>292</v>
      </c>
      <c r="E159" s="60">
        <v>20</v>
      </c>
      <c r="F159" s="61">
        <v>1</v>
      </c>
      <c r="G159" s="25" t="str">
        <f>IFERROR(VLOOKUP(C159,'🥬 식재료 DB'!$C$7:$H$121,6,0),"")</f>
        <v/>
      </c>
      <c r="H159" s="62" t="str">
        <f t="shared" si="7"/>
        <v/>
      </c>
      <c r="I159" s="63"/>
      <c r="J159" s="63"/>
    </row>
    <row r="160" spans="2:11" ht="16.5" customHeight="1">
      <c r="B160" s="58">
        <v>4</v>
      </c>
      <c r="C160" s="109" t="s">
        <v>168</v>
      </c>
      <c r="D160" s="59" t="s">
        <v>292</v>
      </c>
      <c r="E160" s="110">
        <v>10</v>
      </c>
      <c r="F160" s="111">
        <v>1</v>
      </c>
      <c r="G160" s="25">
        <f>IFERROR(VLOOKUP(C160,'🥬 식재료 DB'!$C$7:$H$121,6,0),"")</f>
        <v>1</v>
      </c>
      <c r="H160" s="62">
        <f t="shared" si="7"/>
        <v>10</v>
      </c>
      <c r="I160" s="112"/>
      <c r="J160" s="112"/>
    </row>
    <row r="161" spans="2:11" ht="16.5" customHeight="1">
      <c r="B161" s="58">
        <v>5</v>
      </c>
      <c r="C161" s="68"/>
      <c r="D161" s="59" t="s">
        <v>292</v>
      </c>
      <c r="E161" s="69"/>
      <c r="F161" s="70"/>
      <c r="G161" s="25" t="str">
        <f>IFERROR(VLOOKUP(C161,'🥬 식재료 DB'!$C$7:$H$121,6,0),"")</f>
        <v/>
      </c>
      <c r="H161" s="62" t="str">
        <f t="shared" si="7"/>
        <v/>
      </c>
      <c r="I161" s="63"/>
      <c r="J161" s="63"/>
    </row>
    <row r="162" spans="2:11" ht="16.5" customHeight="1">
      <c r="B162" s="58">
        <v>6</v>
      </c>
      <c r="C162" s="68"/>
      <c r="D162" s="59" t="s">
        <v>292</v>
      </c>
      <c r="E162" s="69"/>
      <c r="F162" s="70"/>
      <c r="G162" s="25" t="str">
        <f>IFERROR(VLOOKUP(C162,'🥬 식재료 DB'!$C$7:$H$121,6,0),"")</f>
        <v/>
      </c>
      <c r="H162" s="62" t="str">
        <f t="shared" si="7"/>
        <v/>
      </c>
      <c r="I162" s="112"/>
      <c r="J162" s="112"/>
    </row>
    <row r="163" spans="2:11" ht="16.5" customHeight="1">
      <c r="B163" s="58">
        <v>7</v>
      </c>
      <c r="C163" s="68"/>
      <c r="D163" s="59" t="s">
        <v>292</v>
      </c>
      <c r="E163" s="69"/>
      <c r="F163" s="70"/>
      <c r="G163" s="25" t="str">
        <f>IFERROR(VLOOKUP(C163,'🥬 식재료 DB'!$C$7:$H$121,6,0),"")</f>
        <v/>
      </c>
      <c r="H163" s="62" t="str">
        <f t="shared" si="7"/>
        <v/>
      </c>
      <c r="I163" s="63"/>
      <c r="J163" s="63"/>
    </row>
    <row r="164" spans="2:11" ht="16.5" customHeight="1">
      <c r="B164" s="58">
        <v>8</v>
      </c>
      <c r="C164" s="68"/>
      <c r="D164" s="59" t="s">
        <v>292</v>
      </c>
      <c r="E164" s="69"/>
      <c r="F164" s="70"/>
      <c r="G164" s="25" t="str">
        <f>IFERROR(VLOOKUP(C164,'🥬 식재료 DB'!$C$7:$H$121,6,0),"")</f>
        <v/>
      </c>
      <c r="H164" s="62" t="str">
        <f t="shared" si="7"/>
        <v/>
      </c>
      <c r="I164" s="112"/>
      <c r="J164" s="112"/>
    </row>
    <row r="165" spans="2:11" ht="16.5" customHeight="1">
      <c r="B165" s="58">
        <v>9</v>
      </c>
      <c r="C165" s="68"/>
      <c r="D165" s="59" t="s">
        <v>292</v>
      </c>
      <c r="E165" s="69"/>
      <c r="F165" s="70"/>
      <c r="G165" s="25" t="str">
        <f>IFERROR(VLOOKUP(C165,'🥬 식재료 DB'!$C$7:$H$121,6,0),"")</f>
        <v/>
      </c>
      <c r="H165" s="62" t="str">
        <f t="shared" si="7"/>
        <v/>
      </c>
      <c r="I165" s="63"/>
      <c r="J165" s="63"/>
    </row>
    <row r="166" spans="2:11" ht="16.5" customHeight="1">
      <c r="B166" s="58">
        <v>10</v>
      </c>
      <c r="C166" s="68"/>
      <c r="D166" s="59" t="s">
        <v>292</v>
      </c>
      <c r="E166" s="69"/>
      <c r="F166" s="70"/>
      <c r="G166" s="25" t="str">
        <f>IFERROR(VLOOKUP(C166,'🥬 식재료 DB'!$C$7:$H$121,6,0),"")</f>
        <v/>
      </c>
      <c r="H166" s="62" t="str">
        <f t="shared" si="7"/>
        <v/>
      </c>
      <c r="I166" s="112"/>
      <c r="J166" s="112"/>
    </row>
    <row r="167" spans="2:11" ht="16.5" customHeight="1">
      <c r="B167" s="58">
        <v>11</v>
      </c>
      <c r="C167" s="68"/>
      <c r="D167" s="59" t="s">
        <v>292</v>
      </c>
      <c r="E167" s="69"/>
      <c r="F167" s="70"/>
      <c r="G167" s="25" t="str">
        <f>IFERROR(VLOOKUP(C167,'🥬 식재료 DB'!$C$7:$H$121,6,0),"")</f>
        <v/>
      </c>
      <c r="H167" s="62" t="str">
        <f t="shared" si="7"/>
        <v/>
      </c>
      <c r="I167" s="63"/>
      <c r="J167" s="63"/>
    </row>
    <row r="168" spans="2:11" ht="16.5" customHeight="1">
      <c r="B168" s="58">
        <v>12</v>
      </c>
      <c r="C168" s="68"/>
      <c r="D168" s="59" t="s">
        <v>292</v>
      </c>
      <c r="E168" s="69"/>
      <c r="F168" s="70"/>
      <c r="G168" s="25" t="str">
        <f>IFERROR(VLOOKUP(C168,'🥬 식재료 DB'!$C$7:$H$121,6,0),"")</f>
        <v/>
      </c>
      <c r="H168" s="62" t="str">
        <f t="shared" si="7"/>
        <v/>
      </c>
      <c r="I168" s="112"/>
      <c r="J168" s="112"/>
    </row>
    <row r="169" spans="2:11" ht="12.75" customHeight="1">
      <c r="B169" s="203" t="s">
        <v>293</v>
      </c>
      <c r="C169" s="203"/>
      <c r="D169" s="203"/>
      <c r="E169" s="203"/>
      <c r="F169" s="203"/>
      <c r="G169" s="203"/>
      <c r="H169" s="203"/>
      <c r="I169" s="203"/>
      <c r="J169" s="203"/>
      <c r="K169" s="203"/>
    </row>
    <row r="170" spans="2:11" ht="16.5" customHeight="1">
      <c r="B170" s="71">
        <v>13</v>
      </c>
      <c r="C170" s="6" t="s">
        <v>353</v>
      </c>
      <c r="D170" s="72" t="s">
        <v>295</v>
      </c>
      <c r="E170" s="60">
        <v>100</v>
      </c>
      <c r="F170" s="61">
        <v>1</v>
      </c>
      <c r="G170" s="73" t="str">
        <f>IFERROR(VLOOKUP(C170,'🧪 프렙 원가표'!$C$8:$D$18,2,0),IFERROR(VLOOKUP(C170,'🥬 식재료 DB'!$C$7:$H$121,6,0),""))</f>
        <v/>
      </c>
      <c r="H170" s="74" t="str">
        <f>IFERROR(IF(AND(C170&lt;&gt;"",ISNUMBER(E170),ISNUMBER(F170),F170&gt;0,ISNUMBER(G170)),E170/F170*G170,""),"")</f>
        <v/>
      </c>
      <c r="I170" s="63"/>
      <c r="J170" s="63"/>
    </row>
    <row r="171" spans="2:11" ht="16.5" customHeight="1">
      <c r="B171" s="71">
        <v>14</v>
      </c>
      <c r="C171" s="68"/>
      <c r="D171" s="72" t="s">
        <v>295</v>
      </c>
      <c r="E171" s="69"/>
      <c r="F171" s="70"/>
      <c r="G171" s="73" t="str">
        <f>IFERROR(VLOOKUP(C171,'🧪 프렙 원가표'!$C$8:$D$18,2,0),IFERROR(VLOOKUP(C171,'🥬 식재료 DB'!$C$7:$H$121,6,0),""))</f>
        <v/>
      </c>
      <c r="H171" s="74" t="str">
        <f>IFERROR(IF(AND(C171&lt;&gt;"",ISNUMBER(E171),ISNUMBER(F171),F171&gt;0,ISNUMBER(G171)),E171/F171*G171,""),"")</f>
        <v/>
      </c>
      <c r="I171" s="77"/>
      <c r="J171" s="77"/>
    </row>
    <row r="172" spans="2:11" ht="16.5" customHeight="1">
      <c r="B172" s="71">
        <v>15</v>
      </c>
      <c r="C172" s="68"/>
      <c r="D172" s="72" t="s">
        <v>295</v>
      </c>
      <c r="E172" s="69"/>
      <c r="F172" s="70"/>
      <c r="G172" s="73" t="str">
        <f>IFERROR(VLOOKUP(C172,'🧪 프렙 원가표'!$C$8:$D$18,2,0),IFERROR(VLOOKUP(C172,'🥬 식재료 DB'!$C$7:$H$121,6,0),""))</f>
        <v/>
      </c>
      <c r="H172" s="74" t="str">
        <f>IFERROR(IF(AND(C172&lt;&gt;"",ISNUMBER(E172),ISNUMBER(F172),F172&gt;0,ISNUMBER(G172)),E172/F172*G172,""),"")</f>
        <v/>
      </c>
      <c r="I172" s="63"/>
      <c r="J172" s="63"/>
    </row>
    <row r="173" spans="2:11" ht="16.5" customHeight="1">
      <c r="B173" s="71">
        <v>16</v>
      </c>
      <c r="C173" s="68"/>
      <c r="D173" s="72" t="s">
        <v>295</v>
      </c>
      <c r="E173" s="69"/>
      <c r="F173" s="70"/>
      <c r="G173" s="73" t="str">
        <f>IFERROR(VLOOKUP(C173,'🧪 프렙 원가표'!$C$8:$D$18,2,0),IFERROR(VLOOKUP(C173,'🥬 식재료 DB'!$C$7:$H$121,6,0),""))</f>
        <v/>
      </c>
      <c r="H173" s="74" t="str">
        <f>IFERROR(IF(AND(C173&lt;&gt;"",ISNUMBER(E173),ISNUMBER(F173),F173&gt;0,ISNUMBER(G173)),E173/F173*G173,""),"")</f>
        <v/>
      </c>
      <c r="I173" s="77"/>
      <c r="J173" s="77"/>
    </row>
    <row r="174" spans="2:11" ht="16.5" customHeight="1">
      <c r="B174" s="71">
        <v>17</v>
      </c>
      <c r="C174" s="68"/>
      <c r="D174" s="72" t="s">
        <v>295</v>
      </c>
      <c r="E174" s="69"/>
      <c r="F174" s="70"/>
      <c r="G174" s="73" t="str">
        <f>IFERROR(VLOOKUP(C174,'🧪 프렙 원가표'!$C$8:$D$18,2,0),IFERROR(VLOOKUP(C174,'🥬 식재료 DB'!$C$7:$H$121,6,0),""))</f>
        <v/>
      </c>
      <c r="H174" s="74" t="str">
        <f>IFERROR(IF(AND(C174&lt;&gt;"",ISNUMBER(E174),ISNUMBER(F174),F174&gt;0,ISNUMBER(G174)),E174/F174*G174,""),"")</f>
        <v/>
      </c>
      <c r="I174" s="63"/>
      <c r="J174" s="63"/>
    </row>
    <row r="175" spans="2:11" ht="3.75" customHeight="1">
      <c r="B175" s="78"/>
      <c r="C175" s="78"/>
      <c r="D175" s="78"/>
      <c r="E175" s="78"/>
      <c r="F175" s="78"/>
      <c r="G175" s="78"/>
      <c r="H175" s="78"/>
      <c r="I175" s="78"/>
      <c r="J175" s="78"/>
      <c r="K175" s="78"/>
    </row>
    <row r="176" spans="2:11" ht="27" customHeight="1">
      <c r="B176" s="50"/>
      <c r="C176" s="51" t="s">
        <v>391</v>
      </c>
      <c r="D176" s="50"/>
      <c r="E176" s="52">
        <v>8000</v>
      </c>
      <c r="F176" s="53">
        <f>IFERROR(SUM(H178,H179,H180,H181,H182,H183,H184,H185,H186,H187,H188,H189,H190,H192,H193,H194,H195,H196),0)</f>
        <v>1232.5</v>
      </c>
      <c r="G176" s="54">
        <f>IFERROR(E176*'💰 고정비용 DB'!$D$22/'💰 고정비용 DB'!$D$25,0)</f>
        <v>5282.3765278406518</v>
      </c>
      <c r="H176" s="55">
        <f>IFERROR(G176-F176,"")</f>
        <v>4049.8765278406518</v>
      </c>
      <c r="I176" s="56">
        <f>IFERROR(H176/E176,"")</f>
        <v>0.50623456598008143</v>
      </c>
      <c r="J176" s="57" t="str">
        <f>IF(I176="","⬜ 미입력",IF(I176&lt;=0.2,"✅ 양호",IF(I176&lt;=0.32,"🟡 주의","🔴 과다")))</f>
        <v>🔴 과다</v>
      </c>
      <c r="K176" s="50"/>
    </row>
    <row r="177" spans="2:11" ht="12.75" customHeight="1">
      <c r="B177" s="204" t="s">
        <v>291</v>
      </c>
      <c r="C177" s="204"/>
      <c r="D177" s="204"/>
      <c r="E177" s="204"/>
      <c r="F177" s="204"/>
      <c r="G177" s="204"/>
      <c r="H177" s="204"/>
      <c r="I177" s="204"/>
      <c r="J177" s="204"/>
      <c r="K177" s="204"/>
    </row>
    <row r="178" spans="2:11" ht="16.5" customHeight="1">
      <c r="B178" s="58">
        <v>1</v>
      </c>
      <c r="C178" s="6" t="s">
        <v>141</v>
      </c>
      <c r="D178" s="59" t="s">
        <v>292</v>
      </c>
      <c r="E178" s="60">
        <v>150</v>
      </c>
      <c r="F178" s="61">
        <v>1</v>
      </c>
      <c r="G178" s="25">
        <f>IFERROR(VLOOKUP(C178,'🥬 식재료 DB'!$C$7:$H$121,6,0),"")</f>
        <v>1.75</v>
      </c>
      <c r="H178" s="62">
        <f t="shared" ref="H178:H190" si="8">IFERROR(IF(AND(C178&lt;&gt;"",ISNUMBER(E178),ISNUMBER(F178),F178&gt;0,ISNUMBER(G178)),E178/F178*G178,""),"")</f>
        <v>262.5</v>
      </c>
      <c r="I178" s="63"/>
      <c r="J178" s="63"/>
    </row>
    <row r="179" spans="2:11" ht="16.5" customHeight="1">
      <c r="B179" s="58">
        <v>2</v>
      </c>
      <c r="C179" s="109" t="s">
        <v>140</v>
      </c>
      <c r="D179" s="59" t="s">
        <v>292</v>
      </c>
      <c r="E179" s="110">
        <v>30</v>
      </c>
      <c r="F179" s="111">
        <v>1</v>
      </c>
      <c r="G179" s="25">
        <f>IFERROR(VLOOKUP(C179,'🥬 식재료 DB'!$C$7:$H$121,6,0),"")</f>
        <v>0.93333333333333335</v>
      </c>
      <c r="H179" s="62">
        <f t="shared" si="8"/>
        <v>28</v>
      </c>
      <c r="I179" s="112"/>
      <c r="J179" s="112"/>
    </row>
    <row r="180" spans="2:11" ht="16.5" customHeight="1">
      <c r="B180" s="58">
        <v>3</v>
      </c>
      <c r="C180" s="6" t="s">
        <v>236</v>
      </c>
      <c r="D180" s="59" t="s">
        <v>292</v>
      </c>
      <c r="E180" s="60">
        <v>20</v>
      </c>
      <c r="F180" s="61">
        <v>1</v>
      </c>
      <c r="G180" s="25">
        <f>IFERROR(VLOOKUP(C180,'🥬 식재료 DB'!$C$7:$H$121,6,0),"")</f>
        <v>14</v>
      </c>
      <c r="H180" s="62">
        <f t="shared" si="8"/>
        <v>280</v>
      </c>
      <c r="I180" s="63"/>
      <c r="J180" s="63"/>
    </row>
    <row r="181" spans="2:11" ht="16.5" customHeight="1">
      <c r="B181" s="58">
        <v>4</v>
      </c>
      <c r="C181" s="109" t="s">
        <v>303</v>
      </c>
      <c r="D181" s="59" t="s">
        <v>292</v>
      </c>
      <c r="E181" s="110">
        <v>20</v>
      </c>
      <c r="F181" s="111">
        <v>1</v>
      </c>
      <c r="G181" s="25" t="str">
        <f>IFERROR(VLOOKUP(C181,'🥬 식재료 DB'!$C$7:$H$121,6,0),"")</f>
        <v/>
      </c>
      <c r="H181" s="62" t="str">
        <f t="shared" si="8"/>
        <v/>
      </c>
      <c r="I181" s="112"/>
      <c r="J181" s="112"/>
    </row>
    <row r="182" spans="2:11" ht="16.5" customHeight="1">
      <c r="B182" s="58">
        <v>5</v>
      </c>
      <c r="C182" s="17" t="s">
        <v>177</v>
      </c>
      <c r="D182" s="59" t="s">
        <v>292</v>
      </c>
      <c r="E182" s="60">
        <v>15</v>
      </c>
      <c r="F182" s="61">
        <v>1</v>
      </c>
      <c r="G182" s="25">
        <f>IFERROR(VLOOKUP(C182,'🥬 식재료 DB'!$C$7:$H$121,6,0),"")</f>
        <v>22.5</v>
      </c>
      <c r="H182" s="62">
        <f t="shared" si="8"/>
        <v>337.5</v>
      </c>
      <c r="I182" s="63"/>
      <c r="J182" s="63"/>
    </row>
    <row r="183" spans="2:11" ht="16.5" customHeight="1">
      <c r="B183" s="58">
        <v>6</v>
      </c>
      <c r="C183" s="113" t="s">
        <v>174</v>
      </c>
      <c r="D183" s="59" t="s">
        <v>292</v>
      </c>
      <c r="E183" s="110">
        <v>5</v>
      </c>
      <c r="F183" s="111">
        <v>1</v>
      </c>
      <c r="G183" s="25">
        <f>IFERROR(VLOOKUP(C183,'🥬 식재료 DB'!$C$7:$H$121,6,0),"")</f>
        <v>22.5</v>
      </c>
      <c r="H183" s="62">
        <f t="shared" si="8"/>
        <v>112.5</v>
      </c>
      <c r="I183" s="112"/>
      <c r="J183" s="112"/>
    </row>
    <row r="184" spans="2:11" ht="16.5" customHeight="1">
      <c r="B184" s="58">
        <v>7</v>
      </c>
      <c r="C184" s="17" t="s">
        <v>179</v>
      </c>
      <c r="D184" s="59" t="s">
        <v>292</v>
      </c>
      <c r="E184" s="60">
        <v>5</v>
      </c>
      <c r="F184" s="61">
        <v>1</v>
      </c>
      <c r="G184" s="25">
        <f>IFERROR(VLOOKUP(C184,'🥬 식재료 DB'!$C$7:$H$121,6,0),"")</f>
        <v>15</v>
      </c>
      <c r="H184" s="62">
        <f t="shared" si="8"/>
        <v>75</v>
      </c>
      <c r="I184" s="63"/>
      <c r="J184" s="63"/>
    </row>
    <row r="185" spans="2:11" ht="16.5" customHeight="1">
      <c r="B185" s="58">
        <v>8</v>
      </c>
      <c r="C185" s="113" t="s">
        <v>302</v>
      </c>
      <c r="D185" s="59" t="s">
        <v>292</v>
      </c>
      <c r="E185" s="110">
        <v>5</v>
      </c>
      <c r="F185" s="111">
        <v>1</v>
      </c>
      <c r="G185" s="25" t="str">
        <f>IFERROR(VLOOKUP(C185,'🥬 식재료 DB'!$C$7:$H$121,6,0),"")</f>
        <v/>
      </c>
      <c r="H185" s="62" t="str">
        <f t="shared" si="8"/>
        <v/>
      </c>
      <c r="I185" s="112"/>
      <c r="J185" s="112"/>
    </row>
    <row r="186" spans="2:11" ht="16.5" customHeight="1">
      <c r="B186" s="58">
        <v>9</v>
      </c>
      <c r="C186" s="6" t="s">
        <v>158</v>
      </c>
      <c r="D186" s="59" t="s">
        <v>292</v>
      </c>
      <c r="E186" s="60">
        <v>30</v>
      </c>
      <c r="F186" s="61">
        <v>1</v>
      </c>
      <c r="G186" s="25">
        <f>IFERROR(VLOOKUP(C186,'🥬 식재료 DB'!$C$7:$H$121,6,0),"")</f>
        <v>2.4</v>
      </c>
      <c r="H186" s="62">
        <f t="shared" si="8"/>
        <v>72</v>
      </c>
      <c r="I186" s="63"/>
      <c r="J186" s="63"/>
    </row>
    <row r="187" spans="2:11" ht="16.5" customHeight="1">
      <c r="B187" s="58">
        <v>10</v>
      </c>
      <c r="C187" s="109" t="s">
        <v>168</v>
      </c>
      <c r="D187" s="59" t="s">
        <v>292</v>
      </c>
      <c r="E187" s="110">
        <v>10</v>
      </c>
      <c r="F187" s="111">
        <v>1</v>
      </c>
      <c r="G187" s="25">
        <f>IFERROR(VLOOKUP(C187,'🥬 식재료 DB'!$C$7:$H$121,6,0),"")</f>
        <v>1</v>
      </c>
      <c r="H187" s="62">
        <f t="shared" si="8"/>
        <v>10</v>
      </c>
      <c r="I187" s="112"/>
      <c r="J187" s="112"/>
    </row>
    <row r="188" spans="2:11" ht="16.5" customHeight="1">
      <c r="B188" s="58">
        <v>11</v>
      </c>
      <c r="C188" s="6" t="s">
        <v>191</v>
      </c>
      <c r="D188" s="59" t="s">
        <v>292</v>
      </c>
      <c r="E188" s="60">
        <v>20</v>
      </c>
      <c r="F188" s="61">
        <v>1</v>
      </c>
      <c r="G188" s="25">
        <f>IFERROR(VLOOKUP(C188,'🥬 식재료 DB'!$C$7:$H$121,6,0),"")</f>
        <v>2.75</v>
      </c>
      <c r="H188" s="62">
        <f t="shared" si="8"/>
        <v>55</v>
      </c>
      <c r="I188" s="63"/>
      <c r="J188" s="63"/>
    </row>
    <row r="189" spans="2:11" ht="16.5" customHeight="1">
      <c r="B189" s="58">
        <v>12</v>
      </c>
      <c r="C189" s="68"/>
      <c r="D189" s="59" t="s">
        <v>292</v>
      </c>
      <c r="E189" s="69"/>
      <c r="F189" s="70"/>
      <c r="G189" s="25" t="str">
        <f>IFERROR(VLOOKUP(C189,'🥬 식재료 DB'!$C$7:$H$121,6,0),"")</f>
        <v/>
      </c>
      <c r="H189" s="62" t="str">
        <f t="shared" si="8"/>
        <v/>
      </c>
      <c r="I189" s="112"/>
      <c r="J189" s="112"/>
    </row>
    <row r="190" spans="2:11" ht="16.5" customHeight="1">
      <c r="B190" s="58">
        <v>13</v>
      </c>
      <c r="C190" s="68"/>
      <c r="D190" s="59" t="s">
        <v>292</v>
      </c>
      <c r="E190" s="69"/>
      <c r="F190" s="70"/>
      <c r="G190" s="25" t="str">
        <f>IFERROR(VLOOKUP(C190,'🥬 식재료 DB'!$C$7:$H$121,6,0),"")</f>
        <v/>
      </c>
      <c r="H190" s="62" t="str">
        <f t="shared" si="8"/>
        <v/>
      </c>
      <c r="I190" s="63"/>
      <c r="J190" s="63"/>
    </row>
    <row r="191" spans="2:11" ht="12.75" customHeight="1">
      <c r="B191" s="203" t="s">
        <v>293</v>
      </c>
      <c r="C191" s="203"/>
      <c r="D191" s="203"/>
      <c r="E191" s="203"/>
      <c r="F191" s="203"/>
      <c r="G191" s="203"/>
      <c r="H191" s="203"/>
      <c r="I191" s="203"/>
      <c r="J191" s="203"/>
      <c r="K191" s="203"/>
    </row>
    <row r="192" spans="2:11" ht="16.5" customHeight="1">
      <c r="B192" s="71">
        <v>14</v>
      </c>
      <c r="C192" s="68"/>
      <c r="D192" s="72" t="s">
        <v>295</v>
      </c>
      <c r="E192" s="69"/>
      <c r="F192" s="70"/>
      <c r="G192" s="73" t="str">
        <f>IFERROR(VLOOKUP(C192,'🧪 프렙 원가표'!$C$8:$D$18,2,0),IFERROR(VLOOKUP(C192,'🥬 식재료 DB'!$C$7:$H$121,6,0),""))</f>
        <v/>
      </c>
      <c r="H192" s="74" t="str">
        <f>IFERROR(IF(AND(C192&lt;&gt;"",ISNUMBER(E192),ISNUMBER(F192),F192&gt;0,ISNUMBER(G192)),E192/F192*G192,""),"")</f>
        <v/>
      </c>
      <c r="I192" s="63"/>
      <c r="J192" s="63"/>
    </row>
    <row r="193" spans="2:11" ht="16.5" customHeight="1">
      <c r="B193" s="71">
        <v>15</v>
      </c>
      <c r="C193" s="68"/>
      <c r="D193" s="72" t="s">
        <v>295</v>
      </c>
      <c r="E193" s="69"/>
      <c r="F193" s="70"/>
      <c r="G193" s="73" t="str">
        <f>IFERROR(VLOOKUP(C193,'🧪 프렙 원가표'!$C$8:$D$18,2,0),IFERROR(VLOOKUP(C193,'🥬 식재료 DB'!$C$7:$H$121,6,0),""))</f>
        <v/>
      </c>
      <c r="H193" s="74" t="str">
        <f>IFERROR(IF(AND(C193&lt;&gt;"",ISNUMBER(E193),ISNUMBER(F193),F193&gt;0,ISNUMBER(G193)),E193/F193*G193,""),"")</f>
        <v/>
      </c>
      <c r="I193" s="77"/>
      <c r="J193" s="77"/>
    </row>
    <row r="194" spans="2:11" ht="16.5" customHeight="1">
      <c r="B194" s="71">
        <v>16</v>
      </c>
      <c r="C194" s="68"/>
      <c r="D194" s="72" t="s">
        <v>295</v>
      </c>
      <c r="E194" s="69"/>
      <c r="F194" s="70"/>
      <c r="G194" s="73" t="str">
        <f>IFERROR(VLOOKUP(C194,'🧪 프렙 원가표'!$C$8:$D$18,2,0),IFERROR(VLOOKUP(C194,'🥬 식재료 DB'!$C$7:$H$121,6,0),""))</f>
        <v/>
      </c>
      <c r="H194" s="74" t="str">
        <f>IFERROR(IF(AND(C194&lt;&gt;"",ISNUMBER(E194),ISNUMBER(F194),F194&gt;0,ISNUMBER(G194)),E194/F194*G194,""),"")</f>
        <v/>
      </c>
      <c r="I194" s="63"/>
      <c r="J194" s="63"/>
    </row>
    <row r="195" spans="2:11" ht="16.5" customHeight="1">
      <c r="B195" s="71">
        <v>17</v>
      </c>
      <c r="C195" s="68"/>
      <c r="D195" s="72" t="s">
        <v>295</v>
      </c>
      <c r="E195" s="69"/>
      <c r="F195" s="70"/>
      <c r="G195" s="73" t="str">
        <f>IFERROR(VLOOKUP(C195,'🧪 프렙 원가표'!$C$8:$D$18,2,0),IFERROR(VLOOKUP(C195,'🥬 식재료 DB'!$C$7:$H$121,6,0),""))</f>
        <v/>
      </c>
      <c r="H195" s="74" t="str">
        <f>IFERROR(IF(AND(C195&lt;&gt;"",ISNUMBER(E195),ISNUMBER(F195),F195&gt;0,ISNUMBER(G195)),E195/F195*G195,""),"")</f>
        <v/>
      </c>
      <c r="I195" s="77"/>
      <c r="J195" s="77"/>
    </row>
    <row r="196" spans="2:11" ht="16.5" customHeight="1">
      <c r="B196" s="71">
        <v>18</v>
      </c>
      <c r="C196" s="68"/>
      <c r="D196" s="72" t="s">
        <v>295</v>
      </c>
      <c r="E196" s="69"/>
      <c r="F196" s="70"/>
      <c r="G196" s="73" t="str">
        <f>IFERROR(VLOOKUP(C196,'🧪 프렙 원가표'!$C$8:$D$18,2,0),IFERROR(VLOOKUP(C196,'🥬 식재료 DB'!$C$7:$H$121,6,0),""))</f>
        <v/>
      </c>
      <c r="H196" s="74" t="str">
        <f>IFERROR(IF(AND(C196&lt;&gt;"",ISNUMBER(E196),ISNUMBER(F196),F196&gt;0,ISNUMBER(G196)),E196/F196*G196,""),"")</f>
        <v/>
      </c>
      <c r="I196" s="63"/>
      <c r="J196" s="63"/>
    </row>
    <row r="197" spans="2:11" ht="3.75" customHeight="1">
      <c r="B197" s="78"/>
      <c r="C197" s="78"/>
      <c r="D197" s="78"/>
      <c r="E197" s="78"/>
      <c r="F197" s="78"/>
      <c r="G197" s="78"/>
      <c r="H197" s="78"/>
      <c r="I197" s="78"/>
      <c r="J197" s="78"/>
      <c r="K197" s="78"/>
    </row>
    <row r="198" spans="2:11" ht="27" customHeight="1">
      <c r="B198" s="50"/>
      <c r="C198" s="51" t="s">
        <v>392</v>
      </c>
      <c r="D198" s="50"/>
      <c r="E198" s="52">
        <v>9000</v>
      </c>
      <c r="F198" s="53">
        <f>IFERROR(SUM(H200,H201,H202,H203,H204,H205,H206,H207,H208,H209,H210,H211,H212,H213,H215,H216,H217,H218,H219),0)</f>
        <v>966.16666666666674</v>
      </c>
      <c r="G198" s="54">
        <f>IFERROR(E198*'💰 고정비용 DB'!$D$22/'💰 고정비용 DB'!$D$25,0)</f>
        <v>5942.673593820733</v>
      </c>
      <c r="H198" s="55">
        <f>IFERROR(G198-F198,"")</f>
        <v>4976.506927154066</v>
      </c>
      <c r="I198" s="56">
        <f>IFERROR(H198/E198,"")</f>
        <v>0.55294521412822961</v>
      </c>
      <c r="J198" s="57" t="str">
        <f>IF(I198="","⬜ 미입력",IF(I198&lt;=0.2,"✅ 양호",IF(I198&lt;=0.32,"🟡 주의","🔴 과다")))</f>
        <v>🔴 과다</v>
      </c>
      <c r="K198" s="50"/>
    </row>
    <row r="199" spans="2:11" ht="12.75" customHeight="1">
      <c r="B199" s="204" t="s">
        <v>291</v>
      </c>
      <c r="C199" s="204"/>
      <c r="D199" s="204"/>
      <c r="E199" s="204"/>
      <c r="F199" s="204"/>
      <c r="G199" s="204"/>
      <c r="H199" s="204"/>
      <c r="I199" s="204"/>
      <c r="J199" s="204"/>
      <c r="K199" s="204"/>
    </row>
    <row r="200" spans="2:11" ht="16.5" customHeight="1">
      <c r="B200" s="58">
        <v>1</v>
      </c>
      <c r="C200" s="6" t="s">
        <v>368</v>
      </c>
      <c r="D200" s="59" t="s">
        <v>292</v>
      </c>
      <c r="E200" s="60">
        <v>50</v>
      </c>
      <c r="F200" s="61">
        <v>1</v>
      </c>
      <c r="G200" s="25" t="str">
        <f>IFERROR(VLOOKUP(C200,'🥬 식재료 DB'!$C$7:$H$121,6,0),"")</f>
        <v/>
      </c>
      <c r="H200" s="62" t="str">
        <f t="shared" ref="H200:H213" si="9">IFERROR(IF(AND(C200&lt;&gt;"",ISNUMBER(E200),ISNUMBER(F200),F200&gt;0,ISNUMBER(G200)),E200/F200*G200,""),"")</f>
        <v/>
      </c>
      <c r="I200" s="63"/>
      <c r="J200" s="63"/>
    </row>
    <row r="201" spans="2:11" ht="16.5" customHeight="1">
      <c r="B201" s="58">
        <v>2</v>
      </c>
      <c r="C201" s="109" t="s">
        <v>381</v>
      </c>
      <c r="D201" s="59" t="s">
        <v>292</v>
      </c>
      <c r="E201" s="110">
        <v>150</v>
      </c>
      <c r="F201" s="111">
        <v>1</v>
      </c>
      <c r="G201" s="25" t="str">
        <f>IFERROR(VLOOKUP(C201,'🥬 식재료 DB'!$C$7:$H$121,6,0),"")</f>
        <v/>
      </c>
      <c r="H201" s="62" t="str">
        <f t="shared" si="9"/>
        <v/>
      </c>
      <c r="I201" s="112"/>
      <c r="J201" s="112"/>
    </row>
    <row r="202" spans="2:11" ht="16.5" customHeight="1">
      <c r="B202" s="58">
        <v>3</v>
      </c>
      <c r="C202" s="6" t="s">
        <v>140</v>
      </c>
      <c r="D202" s="59" t="s">
        <v>292</v>
      </c>
      <c r="E202" s="60">
        <v>20</v>
      </c>
      <c r="F202" s="61">
        <v>1</v>
      </c>
      <c r="G202" s="25">
        <f>IFERROR(VLOOKUP(C202,'🥬 식재료 DB'!$C$7:$H$121,6,0),"")</f>
        <v>0.93333333333333335</v>
      </c>
      <c r="H202" s="62">
        <f t="shared" si="9"/>
        <v>18.666666666666668</v>
      </c>
      <c r="I202" s="63"/>
      <c r="J202" s="63"/>
    </row>
    <row r="203" spans="2:11" ht="16.5" customHeight="1">
      <c r="B203" s="58">
        <v>4</v>
      </c>
      <c r="C203" s="109" t="s">
        <v>144</v>
      </c>
      <c r="D203" s="59" t="s">
        <v>292</v>
      </c>
      <c r="E203" s="110">
        <v>10</v>
      </c>
      <c r="F203" s="111">
        <v>1</v>
      </c>
      <c r="G203" s="25">
        <f>IFERROR(VLOOKUP(C203,'🥬 식재료 DB'!$C$7:$H$121,6,0),"")</f>
        <v>9</v>
      </c>
      <c r="H203" s="62">
        <f t="shared" si="9"/>
        <v>90</v>
      </c>
      <c r="I203" s="112"/>
      <c r="J203" s="112"/>
    </row>
    <row r="204" spans="2:11" ht="16.5" customHeight="1">
      <c r="B204" s="58">
        <v>5</v>
      </c>
      <c r="C204" s="6" t="s">
        <v>143</v>
      </c>
      <c r="D204" s="59" t="s">
        <v>292</v>
      </c>
      <c r="E204" s="60">
        <v>10</v>
      </c>
      <c r="F204" s="61">
        <v>1</v>
      </c>
      <c r="G204" s="25">
        <f>IFERROR(VLOOKUP(C204,'🥬 식재료 DB'!$C$7:$H$121,6,0),"")</f>
        <v>10</v>
      </c>
      <c r="H204" s="62">
        <f t="shared" si="9"/>
        <v>100</v>
      </c>
      <c r="I204" s="63"/>
      <c r="J204" s="63"/>
    </row>
    <row r="205" spans="2:11" ht="16.5" customHeight="1">
      <c r="B205" s="58">
        <v>6</v>
      </c>
      <c r="C205" s="109" t="s">
        <v>303</v>
      </c>
      <c r="D205" s="59" t="s">
        <v>292</v>
      </c>
      <c r="E205" s="110">
        <v>10</v>
      </c>
      <c r="F205" s="111">
        <v>1</v>
      </c>
      <c r="G205" s="25" t="str">
        <f>IFERROR(VLOOKUP(C205,'🥬 식재료 DB'!$C$7:$H$121,6,0),"")</f>
        <v/>
      </c>
      <c r="H205" s="62" t="str">
        <f t="shared" si="9"/>
        <v/>
      </c>
      <c r="I205" s="112"/>
      <c r="J205" s="112"/>
    </row>
    <row r="206" spans="2:11" ht="16.5" customHeight="1">
      <c r="B206" s="58">
        <v>7</v>
      </c>
      <c r="C206" s="17" t="s">
        <v>179</v>
      </c>
      <c r="D206" s="59" t="s">
        <v>292</v>
      </c>
      <c r="E206" s="60">
        <v>10</v>
      </c>
      <c r="F206" s="61">
        <v>1</v>
      </c>
      <c r="G206" s="25">
        <f>IFERROR(VLOOKUP(C206,'🥬 식재료 DB'!$C$7:$H$121,6,0),"")</f>
        <v>15</v>
      </c>
      <c r="H206" s="62">
        <f t="shared" si="9"/>
        <v>150</v>
      </c>
      <c r="I206" s="63"/>
      <c r="J206" s="63"/>
    </row>
    <row r="207" spans="2:11" ht="16.5" customHeight="1">
      <c r="B207" s="58">
        <v>8</v>
      </c>
      <c r="C207" s="109" t="s">
        <v>163</v>
      </c>
      <c r="D207" s="59" t="s">
        <v>292</v>
      </c>
      <c r="E207" s="110">
        <v>5</v>
      </c>
      <c r="F207" s="111">
        <v>1</v>
      </c>
      <c r="G207" s="25">
        <f>IFERROR(VLOOKUP(C207,'🥬 식재료 DB'!$C$7:$H$121,6,0),"")</f>
        <v>22.5</v>
      </c>
      <c r="H207" s="62">
        <f t="shared" si="9"/>
        <v>112.5</v>
      </c>
      <c r="I207" s="112"/>
      <c r="J207" s="112"/>
    </row>
    <row r="208" spans="2:11" ht="16.5" customHeight="1">
      <c r="B208" s="58">
        <v>9</v>
      </c>
      <c r="C208" s="6" t="s">
        <v>227</v>
      </c>
      <c r="D208" s="59" t="s">
        <v>292</v>
      </c>
      <c r="E208" s="60">
        <v>20</v>
      </c>
      <c r="F208" s="61">
        <v>1</v>
      </c>
      <c r="G208" s="25">
        <f>IFERROR(VLOOKUP(C208,'🥬 식재료 DB'!$C$7:$H$121,6,0),"")</f>
        <v>6</v>
      </c>
      <c r="H208" s="62">
        <f t="shared" si="9"/>
        <v>120</v>
      </c>
      <c r="I208" s="63"/>
      <c r="J208" s="63"/>
    </row>
    <row r="209" spans="2:11" ht="16.5" customHeight="1">
      <c r="B209" s="58">
        <v>10</v>
      </c>
      <c r="C209" s="109" t="s">
        <v>218</v>
      </c>
      <c r="D209" s="59" t="s">
        <v>292</v>
      </c>
      <c r="E209" s="110">
        <v>30</v>
      </c>
      <c r="F209" s="111">
        <v>1</v>
      </c>
      <c r="G209" s="25">
        <f>IFERROR(VLOOKUP(C209,'🥬 식재료 DB'!$C$7:$H$121,6,0),"")</f>
        <v>6.666666666666667</v>
      </c>
      <c r="H209" s="62">
        <f t="shared" si="9"/>
        <v>200</v>
      </c>
      <c r="I209" s="112"/>
      <c r="J209" s="112"/>
    </row>
    <row r="210" spans="2:11" ht="16.5" customHeight="1">
      <c r="B210" s="58">
        <v>11</v>
      </c>
      <c r="C210" s="6" t="s">
        <v>244</v>
      </c>
      <c r="D210" s="59" t="s">
        <v>292</v>
      </c>
      <c r="E210" s="60">
        <v>30</v>
      </c>
      <c r="F210" s="61">
        <v>1</v>
      </c>
      <c r="G210" s="25">
        <f>IFERROR(VLOOKUP(C210,'🥬 식재료 DB'!$C$7:$H$121,6,0),"")</f>
        <v>5.5</v>
      </c>
      <c r="H210" s="62">
        <f t="shared" si="9"/>
        <v>165</v>
      </c>
      <c r="I210" s="63"/>
      <c r="J210" s="63"/>
    </row>
    <row r="211" spans="2:11" ht="16.5" customHeight="1">
      <c r="B211" s="58">
        <v>12</v>
      </c>
      <c r="C211" s="109" t="s">
        <v>168</v>
      </c>
      <c r="D211" s="59" t="s">
        <v>292</v>
      </c>
      <c r="E211" s="110">
        <v>10</v>
      </c>
      <c r="F211" s="111">
        <v>1</v>
      </c>
      <c r="G211" s="25">
        <f>IFERROR(VLOOKUP(C211,'🥬 식재료 DB'!$C$7:$H$121,6,0),"")</f>
        <v>1</v>
      </c>
      <c r="H211" s="62">
        <f t="shared" si="9"/>
        <v>10</v>
      </c>
      <c r="I211" s="112"/>
      <c r="J211" s="112"/>
    </row>
    <row r="212" spans="2:11" ht="16.5" customHeight="1">
      <c r="B212" s="58">
        <v>13</v>
      </c>
      <c r="C212" s="68"/>
      <c r="D212" s="59" t="s">
        <v>292</v>
      </c>
      <c r="E212" s="69"/>
      <c r="F212" s="70"/>
      <c r="G212" s="25" t="str">
        <f>IFERROR(VLOOKUP(C212,'🥬 식재료 DB'!$C$7:$H$121,6,0),"")</f>
        <v/>
      </c>
      <c r="H212" s="62" t="str">
        <f t="shared" si="9"/>
        <v/>
      </c>
      <c r="I212" s="63"/>
      <c r="J212" s="63"/>
    </row>
    <row r="213" spans="2:11" ht="16.5" customHeight="1">
      <c r="B213" s="58">
        <v>14</v>
      </c>
      <c r="C213" s="68"/>
      <c r="D213" s="59" t="s">
        <v>292</v>
      </c>
      <c r="E213" s="69"/>
      <c r="F213" s="70"/>
      <c r="G213" s="25" t="str">
        <f>IFERROR(VLOOKUP(C213,'🥬 식재료 DB'!$C$7:$H$121,6,0),"")</f>
        <v/>
      </c>
      <c r="H213" s="62" t="str">
        <f t="shared" si="9"/>
        <v/>
      </c>
      <c r="I213" s="112"/>
      <c r="J213" s="112"/>
    </row>
    <row r="214" spans="2:11" ht="12.75" customHeight="1">
      <c r="B214" s="203" t="s">
        <v>293</v>
      </c>
      <c r="C214" s="203"/>
      <c r="D214" s="203"/>
      <c r="E214" s="203"/>
      <c r="F214" s="203"/>
      <c r="G214" s="203"/>
      <c r="H214" s="203"/>
      <c r="I214" s="203"/>
      <c r="J214" s="203"/>
      <c r="K214" s="203"/>
    </row>
    <row r="215" spans="2:11" ht="16.5" customHeight="1">
      <c r="B215" s="71">
        <v>15</v>
      </c>
      <c r="C215" s="68"/>
      <c r="D215" s="72" t="s">
        <v>295</v>
      </c>
      <c r="E215" s="69"/>
      <c r="F215" s="70"/>
      <c r="G215" s="73" t="str">
        <f>IFERROR(VLOOKUP(C215,'🧪 프렙 원가표'!$C$8:$D$18,2,0),IFERROR(VLOOKUP(C215,'🥬 식재료 DB'!$C$7:$H$121,6,0),""))</f>
        <v/>
      </c>
      <c r="H215" s="74" t="str">
        <f>IFERROR(IF(AND(C215&lt;&gt;"",ISNUMBER(E215),ISNUMBER(F215),F215&gt;0,ISNUMBER(G215)),E215/F215*G215,""),"")</f>
        <v/>
      </c>
      <c r="I215" s="63"/>
      <c r="J215" s="63"/>
    </row>
    <row r="216" spans="2:11" ht="16.5" customHeight="1">
      <c r="B216" s="71">
        <v>16</v>
      </c>
      <c r="C216" s="68"/>
      <c r="D216" s="72" t="s">
        <v>295</v>
      </c>
      <c r="E216" s="69"/>
      <c r="F216" s="70"/>
      <c r="G216" s="73" t="str">
        <f>IFERROR(VLOOKUP(C216,'🧪 프렙 원가표'!$C$8:$D$18,2,0),IFERROR(VLOOKUP(C216,'🥬 식재료 DB'!$C$7:$H$121,6,0),""))</f>
        <v/>
      </c>
      <c r="H216" s="74" t="str">
        <f>IFERROR(IF(AND(C216&lt;&gt;"",ISNUMBER(E216),ISNUMBER(F216),F216&gt;0,ISNUMBER(G216)),E216/F216*G216,""),"")</f>
        <v/>
      </c>
      <c r="I216" s="77"/>
      <c r="J216" s="77"/>
    </row>
    <row r="217" spans="2:11" ht="16.5" customHeight="1">
      <c r="B217" s="71">
        <v>17</v>
      </c>
      <c r="C217" s="68"/>
      <c r="D217" s="72" t="s">
        <v>295</v>
      </c>
      <c r="E217" s="69"/>
      <c r="F217" s="70"/>
      <c r="G217" s="73" t="str">
        <f>IFERROR(VLOOKUP(C217,'🧪 프렙 원가표'!$C$8:$D$18,2,0),IFERROR(VLOOKUP(C217,'🥬 식재료 DB'!$C$7:$H$121,6,0),""))</f>
        <v/>
      </c>
      <c r="H217" s="74" t="str">
        <f>IFERROR(IF(AND(C217&lt;&gt;"",ISNUMBER(E217),ISNUMBER(F217),F217&gt;0,ISNUMBER(G217)),E217/F217*G217,""),"")</f>
        <v/>
      </c>
      <c r="I217" s="63"/>
      <c r="J217" s="63"/>
    </row>
    <row r="218" spans="2:11" ht="16.5" customHeight="1">
      <c r="B218" s="71">
        <v>18</v>
      </c>
      <c r="C218" s="68"/>
      <c r="D218" s="72" t="s">
        <v>295</v>
      </c>
      <c r="E218" s="69"/>
      <c r="F218" s="70"/>
      <c r="G218" s="73" t="str">
        <f>IFERROR(VLOOKUP(C218,'🧪 프렙 원가표'!$C$8:$D$18,2,0),IFERROR(VLOOKUP(C218,'🥬 식재료 DB'!$C$7:$H$121,6,0),""))</f>
        <v/>
      </c>
      <c r="H218" s="74" t="str">
        <f>IFERROR(IF(AND(C218&lt;&gt;"",ISNUMBER(E218),ISNUMBER(F218),F218&gt;0,ISNUMBER(G218)),E218/F218*G218,""),"")</f>
        <v/>
      </c>
      <c r="I218" s="77"/>
      <c r="J218" s="77"/>
    </row>
    <row r="219" spans="2:11" ht="16.5" customHeight="1">
      <c r="B219" s="71">
        <v>19</v>
      </c>
      <c r="C219" s="68"/>
      <c r="D219" s="72" t="s">
        <v>295</v>
      </c>
      <c r="E219" s="69"/>
      <c r="F219" s="70"/>
      <c r="G219" s="73" t="str">
        <f>IFERROR(VLOOKUP(C219,'🧪 프렙 원가표'!$C$8:$D$18,2,0),IFERROR(VLOOKUP(C219,'🥬 식재료 DB'!$C$7:$H$121,6,0),""))</f>
        <v/>
      </c>
      <c r="H219" s="74" t="str">
        <f>IFERROR(IF(AND(C219&lt;&gt;"",ISNUMBER(E219),ISNUMBER(F219),F219&gt;0,ISNUMBER(G219)),E219/F219*G219,""),"")</f>
        <v/>
      </c>
      <c r="I219" s="63"/>
      <c r="J219" s="63"/>
    </row>
    <row r="220" spans="2:11" ht="3.75" customHeight="1">
      <c r="B220" s="78"/>
      <c r="C220" s="78"/>
      <c r="D220" s="78"/>
      <c r="E220" s="78"/>
      <c r="F220" s="78"/>
      <c r="G220" s="78"/>
      <c r="H220" s="78"/>
      <c r="I220" s="78"/>
      <c r="J220" s="78"/>
      <c r="K220" s="78"/>
    </row>
    <row r="221" spans="2:11" ht="27" customHeight="1">
      <c r="B221" s="50"/>
      <c r="C221" s="51" t="s">
        <v>393</v>
      </c>
      <c r="D221" s="50"/>
      <c r="E221" s="52">
        <v>2000</v>
      </c>
      <c r="F221" s="53">
        <f>IFERROR(SUM(H223,H224,H225,H226,H227,H228,H229,H230,H231,H232,H233,H234,H236,H237,H238,H239,H240),0)</f>
        <v>625</v>
      </c>
      <c r="G221" s="54">
        <f>IFERROR(E221*'💰 고정비용 DB'!$D$22/'💰 고정비용 DB'!$D$25,0)</f>
        <v>1320.5941319601629</v>
      </c>
      <c r="H221" s="55">
        <f>IFERROR(G221-F221,"")</f>
        <v>695.59413196016294</v>
      </c>
      <c r="I221" s="56">
        <f>IFERROR(H221/E221,"")</f>
        <v>0.34779706598008148</v>
      </c>
      <c r="J221" s="57" t="str">
        <f>IF(I221="","⬜ 미입력",IF(I221&lt;=0.2,"✅ 양호",IF(I221&lt;=0.32,"🟡 주의","🔴 과다")))</f>
        <v>🔴 과다</v>
      </c>
      <c r="K221" s="50"/>
    </row>
    <row r="222" spans="2:11" ht="12.75" customHeight="1">
      <c r="B222" s="204" t="s">
        <v>291</v>
      </c>
      <c r="C222" s="204"/>
      <c r="D222" s="204"/>
      <c r="E222" s="204"/>
      <c r="F222" s="204"/>
      <c r="G222" s="204"/>
      <c r="H222" s="204"/>
      <c r="I222" s="204"/>
      <c r="J222" s="204"/>
      <c r="K222" s="204"/>
    </row>
    <row r="223" spans="2:11" ht="16.5" customHeight="1">
      <c r="B223" s="58">
        <v>1</v>
      </c>
      <c r="C223" s="17" t="s">
        <v>190</v>
      </c>
      <c r="D223" s="59" t="s">
        <v>292</v>
      </c>
      <c r="E223" s="60">
        <v>50</v>
      </c>
      <c r="F223" s="61">
        <v>1</v>
      </c>
      <c r="G223" s="25">
        <f>IFERROR(VLOOKUP(C223,'🥬 식재료 DB'!$C$7:$H$121,6,0),"")</f>
        <v>12.5</v>
      </c>
      <c r="H223" s="62">
        <f t="shared" ref="H223:H234" si="10">IFERROR(IF(AND(C223&lt;&gt;"",ISNUMBER(E223),ISNUMBER(F223),F223&gt;0,ISNUMBER(G223)),E223/F223*G223,""),"")</f>
        <v>625</v>
      </c>
      <c r="I223" s="63"/>
      <c r="J223" s="63"/>
    </row>
    <row r="224" spans="2:11" ht="16.5" customHeight="1">
      <c r="B224" s="58">
        <v>2</v>
      </c>
      <c r="C224" s="68"/>
      <c r="D224" s="59" t="s">
        <v>292</v>
      </c>
      <c r="E224" s="69"/>
      <c r="F224" s="70"/>
      <c r="G224" s="25" t="str">
        <f>IFERROR(VLOOKUP(C224,'🥬 식재료 DB'!$C$7:$H$121,6,0),"")</f>
        <v/>
      </c>
      <c r="H224" s="62" t="str">
        <f t="shared" si="10"/>
        <v/>
      </c>
      <c r="I224" s="112"/>
      <c r="J224" s="112"/>
    </row>
    <row r="225" spans="2:11" ht="16.5" customHeight="1">
      <c r="B225" s="58">
        <v>3</v>
      </c>
      <c r="C225" s="68"/>
      <c r="D225" s="59" t="s">
        <v>292</v>
      </c>
      <c r="E225" s="69"/>
      <c r="F225" s="70"/>
      <c r="G225" s="25" t="str">
        <f>IFERROR(VLOOKUP(C225,'🥬 식재료 DB'!$C$7:$H$121,6,0),"")</f>
        <v/>
      </c>
      <c r="H225" s="62" t="str">
        <f t="shared" si="10"/>
        <v/>
      </c>
      <c r="I225" s="63"/>
      <c r="J225" s="63"/>
    </row>
    <row r="226" spans="2:11" ht="16.5" customHeight="1">
      <c r="B226" s="58">
        <v>4</v>
      </c>
      <c r="C226" s="68"/>
      <c r="D226" s="59" t="s">
        <v>292</v>
      </c>
      <c r="E226" s="69"/>
      <c r="F226" s="70"/>
      <c r="G226" s="25" t="str">
        <f>IFERROR(VLOOKUP(C226,'🥬 식재료 DB'!$C$7:$H$121,6,0),"")</f>
        <v/>
      </c>
      <c r="H226" s="62" t="str">
        <f t="shared" si="10"/>
        <v/>
      </c>
      <c r="I226" s="112"/>
      <c r="J226" s="112"/>
    </row>
    <row r="227" spans="2:11" ht="16.5" customHeight="1">
      <c r="B227" s="58">
        <v>5</v>
      </c>
      <c r="C227" s="68"/>
      <c r="D227" s="59" t="s">
        <v>292</v>
      </c>
      <c r="E227" s="69"/>
      <c r="F227" s="70"/>
      <c r="G227" s="25" t="str">
        <f>IFERROR(VLOOKUP(C227,'🥬 식재료 DB'!$C$7:$H$121,6,0),"")</f>
        <v/>
      </c>
      <c r="H227" s="62" t="str">
        <f t="shared" si="10"/>
        <v/>
      </c>
      <c r="I227" s="63"/>
      <c r="J227" s="63"/>
    </row>
    <row r="228" spans="2:11" ht="16.5" customHeight="1">
      <c r="B228" s="58">
        <v>6</v>
      </c>
      <c r="C228" s="68"/>
      <c r="D228" s="59" t="s">
        <v>292</v>
      </c>
      <c r="E228" s="69"/>
      <c r="F228" s="70"/>
      <c r="G228" s="25" t="str">
        <f>IFERROR(VLOOKUP(C228,'🥬 식재료 DB'!$C$7:$H$121,6,0),"")</f>
        <v/>
      </c>
      <c r="H228" s="62" t="str">
        <f t="shared" si="10"/>
        <v/>
      </c>
      <c r="I228" s="112"/>
      <c r="J228" s="112"/>
    </row>
    <row r="229" spans="2:11" ht="16.5" customHeight="1">
      <c r="B229" s="58">
        <v>7</v>
      </c>
      <c r="C229" s="68"/>
      <c r="D229" s="59" t="s">
        <v>292</v>
      </c>
      <c r="E229" s="69"/>
      <c r="F229" s="70"/>
      <c r="G229" s="25" t="str">
        <f>IFERROR(VLOOKUP(C229,'🥬 식재료 DB'!$C$7:$H$121,6,0),"")</f>
        <v/>
      </c>
      <c r="H229" s="62" t="str">
        <f t="shared" si="10"/>
        <v/>
      </c>
      <c r="I229" s="63"/>
      <c r="J229" s="63"/>
    </row>
    <row r="230" spans="2:11" ht="16.5" customHeight="1">
      <c r="B230" s="58">
        <v>8</v>
      </c>
      <c r="C230" s="68"/>
      <c r="D230" s="59" t="s">
        <v>292</v>
      </c>
      <c r="E230" s="69"/>
      <c r="F230" s="70"/>
      <c r="G230" s="25" t="str">
        <f>IFERROR(VLOOKUP(C230,'🥬 식재료 DB'!$C$7:$H$121,6,0),"")</f>
        <v/>
      </c>
      <c r="H230" s="62" t="str">
        <f t="shared" si="10"/>
        <v/>
      </c>
      <c r="I230" s="112"/>
      <c r="J230" s="112"/>
    </row>
    <row r="231" spans="2:11" ht="16.5" customHeight="1">
      <c r="B231" s="58">
        <v>9</v>
      </c>
      <c r="C231" s="68"/>
      <c r="D231" s="59" t="s">
        <v>292</v>
      </c>
      <c r="E231" s="69"/>
      <c r="F231" s="70"/>
      <c r="G231" s="25" t="str">
        <f>IFERROR(VLOOKUP(C231,'🥬 식재료 DB'!$C$7:$H$121,6,0),"")</f>
        <v/>
      </c>
      <c r="H231" s="62" t="str">
        <f t="shared" si="10"/>
        <v/>
      </c>
      <c r="I231" s="63"/>
      <c r="J231" s="63"/>
    </row>
    <row r="232" spans="2:11" ht="16.5" customHeight="1">
      <c r="B232" s="58">
        <v>10</v>
      </c>
      <c r="C232" s="68"/>
      <c r="D232" s="59" t="s">
        <v>292</v>
      </c>
      <c r="E232" s="69"/>
      <c r="F232" s="70"/>
      <c r="G232" s="25" t="str">
        <f>IFERROR(VLOOKUP(C232,'🥬 식재료 DB'!$C$7:$H$121,6,0),"")</f>
        <v/>
      </c>
      <c r="H232" s="62" t="str">
        <f t="shared" si="10"/>
        <v/>
      </c>
      <c r="I232" s="112"/>
      <c r="J232" s="112"/>
    </row>
    <row r="233" spans="2:11" ht="16.5" customHeight="1">
      <c r="B233" s="58">
        <v>11</v>
      </c>
      <c r="C233" s="68"/>
      <c r="D233" s="59" t="s">
        <v>292</v>
      </c>
      <c r="E233" s="69"/>
      <c r="F233" s="70"/>
      <c r="G233" s="25" t="str">
        <f>IFERROR(VLOOKUP(C233,'🥬 식재료 DB'!$C$7:$H$121,6,0),"")</f>
        <v/>
      </c>
      <c r="H233" s="62" t="str">
        <f t="shared" si="10"/>
        <v/>
      </c>
      <c r="I233" s="63"/>
      <c r="J233" s="63"/>
    </row>
    <row r="234" spans="2:11" ht="16.5" customHeight="1">
      <c r="B234" s="58">
        <v>12</v>
      </c>
      <c r="C234" s="68"/>
      <c r="D234" s="59" t="s">
        <v>292</v>
      </c>
      <c r="E234" s="69"/>
      <c r="F234" s="70"/>
      <c r="G234" s="25" t="str">
        <f>IFERROR(VLOOKUP(C234,'🥬 식재료 DB'!$C$7:$H$121,6,0),"")</f>
        <v/>
      </c>
      <c r="H234" s="62" t="str">
        <f t="shared" si="10"/>
        <v/>
      </c>
      <c r="I234" s="112"/>
      <c r="J234" s="112"/>
    </row>
    <row r="235" spans="2:11" ht="12.75" customHeight="1">
      <c r="B235" s="203" t="s">
        <v>293</v>
      </c>
      <c r="C235" s="203"/>
      <c r="D235" s="203"/>
      <c r="E235" s="203"/>
      <c r="F235" s="203"/>
      <c r="G235" s="203"/>
      <c r="H235" s="203"/>
      <c r="I235" s="203"/>
      <c r="J235" s="203"/>
      <c r="K235" s="203"/>
    </row>
    <row r="236" spans="2:11" ht="16.5" customHeight="1">
      <c r="B236" s="71">
        <v>13</v>
      </c>
      <c r="C236" s="68"/>
      <c r="D236" s="72" t="s">
        <v>295</v>
      </c>
      <c r="E236" s="69"/>
      <c r="F236" s="70"/>
      <c r="G236" s="73" t="str">
        <f>IFERROR(VLOOKUP(C236,'🧪 프렙 원가표'!$C$8:$D$18,2,0),IFERROR(VLOOKUP(C236,'🥬 식재료 DB'!$C$7:$H$121,6,0),""))</f>
        <v/>
      </c>
      <c r="H236" s="74" t="str">
        <f>IFERROR(IF(AND(C236&lt;&gt;"",ISNUMBER(E236),ISNUMBER(F236),F236&gt;0,ISNUMBER(G236)),E236/F236*G236,""),"")</f>
        <v/>
      </c>
      <c r="I236" s="63"/>
      <c r="J236" s="63"/>
    </row>
    <row r="237" spans="2:11" ht="16.5" customHeight="1">
      <c r="B237" s="71">
        <v>14</v>
      </c>
      <c r="C237" s="68"/>
      <c r="D237" s="72" t="s">
        <v>295</v>
      </c>
      <c r="E237" s="69"/>
      <c r="F237" s="70"/>
      <c r="G237" s="73" t="str">
        <f>IFERROR(VLOOKUP(C237,'🧪 프렙 원가표'!$C$8:$D$18,2,0),IFERROR(VLOOKUP(C237,'🥬 식재료 DB'!$C$7:$H$121,6,0),""))</f>
        <v/>
      </c>
      <c r="H237" s="74" t="str">
        <f>IFERROR(IF(AND(C237&lt;&gt;"",ISNUMBER(E237),ISNUMBER(F237),F237&gt;0,ISNUMBER(G237)),E237/F237*G237,""),"")</f>
        <v/>
      </c>
      <c r="I237" s="77"/>
      <c r="J237" s="77"/>
    </row>
    <row r="238" spans="2:11" ht="16.5" customHeight="1">
      <c r="B238" s="71">
        <v>15</v>
      </c>
      <c r="C238" s="68"/>
      <c r="D238" s="72" t="s">
        <v>295</v>
      </c>
      <c r="E238" s="69"/>
      <c r="F238" s="70"/>
      <c r="G238" s="73" t="str">
        <f>IFERROR(VLOOKUP(C238,'🧪 프렙 원가표'!$C$8:$D$18,2,0),IFERROR(VLOOKUP(C238,'🥬 식재료 DB'!$C$7:$H$121,6,0),""))</f>
        <v/>
      </c>
      <c r="H238" s="74" t="str">
        <f>IFERROR(IF(AND(C238&lt;&gt;"",ISNUMBER(E238),ISNUMBER(F238),F238&gt;0,ISNUMBER(G238)),E238/F238*G238,""),"")</f>
        <v/>
      </c>
      <c r="I238" s="63"/>
      <c r="J238" s="63"/>
    </row>
    <row r="239" spans="2:11" ht="16.5" customHeight="1">
      <c r="B239" s="71">
        <v>16</v>
      </c>
      <c r="C239" s="68"/>
      <c r="D239" s="72" t="s">
        <v>295</v>
      </c>
      <c r="E239" s="69"/>
      <c r="F239" s="70"/>
      <c r="G239" s="73" t="str">
        <f>IFERROR(VLOOKUP(C239,'🧪 프렙 원가표'!$C$8:$D$18,2,0),IFERROR(VLOOKUP(C239,'🥬 식재료 DB'!$C$7:$H$121,6,0),""))</f>
        <v/>
      </c>
      <c r="H239" s="74" t="str">
        <f>IFERROR(IF(AND(C239&lt;&gt;"",ISNUMBER(E239),ISNUMBER(F239),F239&gt;0,ISNUMBER(G239)),E239/F239*G239,""),"")</f>
        <v/>
      </c>
      <c r="I239" s="77"/>
      <c r="J239" s="77"/>
    </row>
    <row r="240" spans="2:11" ht="16.5" customHeight="1">
      <c r="B240" s="71">
        <v>17</v>
      </c>
      <c r="C240" s="68"/>
      <c r="D240" s="72" t="s">
        <v>295</v>
      </c>
      <c r="E240" s="69"/>
      <c r="F240" s="70"/>
      <c r="G240" s="73" t="str">
        <f>IFERROR(VLOOKUP(C240,'🧪 프렙 원가표'!$C$8:$D$18,2,0),IFERROR(VLOOKUP(C240,'🥬 식재료 DB'!$C$7:$H$121,6,0),""))</f>
        <v/>
      </c>
      <c r="H240" s="74" t="str">
        <f>IFERROR(IF(AND(C240&lt;&gt;"",ISNUMBER(E240),ISNUMBER(F240),F240&gt;0,ISNUMBER(G240)),E240/F240*G240,""),"")</f>
        <v/>
      </c>
      <c r="I240" s="63"/>
      <c r="J240" s="63"/>
    </row>
    <row r="241" spans="2:11" ht="3.75" customHeight="1">
      <c r="B241" s="78"/>
      <c r="C241" s="78"/>
      <c r="D241" s="78"/>
      <c r="E241" s="78"/>
      <c r="F241" s="78"/>
      <c r="G241" s="78"/>
      <c r="H241" s="78"/>
      <c r="I241" s="78"/>
      <c r="J241" s="78"/>
      <c r="K241" s="78"/>
    </row>
    <row r="242" spans="2:11" ht="27" customHeight="1">
      <c r="B242" s="50"/>
      <c r="C242" s="51" t="s">
        <v>394</v>
      </c>
      <c r="D242" s="50"/>
      <c r="E242" s="52">
        <v>5000</v>
      </c>
      <c r="F242" s="53">
        <f>IFERROR(SUM(H244,H245,H246,H247,H248,H249,H250,H251,H252,H253,H254,H255,H257,H258,H259,H260,H261),0)</f>
        <v>1386.9999999999998</v>
      </c>
      <c r="G242" s="54">
        <f>IFERROR(E242*'💰 고정비용 DB'!$D$22/'💰 고정비용 DB'!$D$25,0)</f>
        <v>3301.4853299004076</v>
      </c>
      <c r="H242" s="55">
        <f>IFERROR(G242-F242,"")</f>
        <v>1914.4853299004078</v>
      </c>
      <c r="I242" s="56">
        <f>IFERROR(H242/E242,"")</f>
        <v>0.38289706598008155</v>
      </c>
      <c r="J242" s="57" t="str">
        <f>IF(I242="","⬜ 미입력",IF(I242&lt;=0.2,"✅ 양호",IF(I242&lt;=0.32,"🟡 주의","🔴 과다")))</f>
        <v>🔴 과다</v>
      </c>
      <c r="K242" s="50"/>
    </row>
    <row r="243" spans="2:11" ht="12.75" customHeight="1">
      <c r="B243" s="204" t="s">
        <v>291</v>
      </c>
      <c r="C243" s="204"/>
      <c r="D243" s="204"/>
      <c r="E243" s="204"/>
      <c r="F243" s="204"/>
      <c r="G243" s="204"/>
      <c r="H243" s="204"/>
      <c r="I243" s="204"/>
      <c r="J243" s="204"/>
      <c r="K243" s="204"/>
    </row>
    <row r="244" spans="2:11" ht="16.5" customHeight="1">
      <c r="B244" s="58">
        <v>1</v>
      </c>
      <c r="C244" s="17" t="s">
        <v>190</v>
      </c>
      <c r="D244" s="59" t="s">
        <v>292</v>
      </c>
      <c r="E244" s="60">
        <v>50</v>
      </c>
      <c r="F244" s="61">
        <v>1</v>
      </c>
      <c r="G244" s="25">
        <f>IFERROR(VLOOKUP(C244,'🥬 식재료 DB'!$C$7:$H$121,6,0),"")</f>
        <v>12.5</v>
      </c>
      <c r="H244" s="62">
        <f t="shared" ref="H244:H255" si="11">IFERROR(IF(AND(C244&lt;&gt;"",ISNUMBER(E244),ISNUMBER(F244),F244&gt;0,ISNUMBER(G244)),E244/F244*G244,""),"")</f>
        <v>625</v>
      </c>
      <c r="I244" s="63"/>
      <c r="J244" s="63"/>
    </row>
    <row r="245" spans="2:11" ht="16.5" customHeight="1">
      <c r="B245" s="58">
        <v>2</v>
      </c>
      <c r="C245" s="109" t="s">
        <v>140</v>
      </c>
      <c r="D245" s="59" t="s">
        <v>292</v>
      </c>
      <c r="E245" s="110">
        <v>20</v>
      </c>
      <c r="F245" s="111">
        <v>1</v>
      </c>
      <c r="G245" s="25">
        <f>IFERROR(VLOOKUP(C245,'🥬 식재료 DB'!$C$7:$H$121,6,0),"")</f>
        <v>0.93333333333333335</v>
      </c>
      <c r="H245" s="62">
        <f t="shared" si="11"/>
        <v>18.666666666666668</v>
      </c>
      <c r="I245" s="112"/>
      <c r="J245" s="112"/>
    </row>
    <row r="246" spans="2:11" ht="16.5" customHeight="1">
      <c r="B246" s="58">
        <v>3</v>
      </c>
      <c r="C246" s="6" t="s">
        <v>236</v>
      </c>
      <c r="D246" s="59" t="s">
        <v>292</v>
      </c>
      <c r="E246" s="60">
        <v>30</v>
      </c>
      <c r="F246" s="61">
        <v>1</v>
      </c>
      <c r="G246" s="25">
        <f>IFERROR(VLOOKUP(C246,'🥬 식재료 DB'!$C$7:$H$121,6,0),"")</f>
        <v>14</v>
      </c>
      <c r="H246" s="62">
        <f t="shared" si="11"/>
        <v>420</v>
      </c>
      <c r="I246" s="63"/>
      <c r="J246" s="63"/>
    </row>
    <row r="247" spans="2:11" ht="16.5" customHeight="1">
      <c r="B247" s="58">
        <v>4</v>
      </c>
      <c r="C247" s="109" t="s">
        <v>227</v>
      </c>
      <c r="D247" s="59" t="s">
        <v>292</v>
      </c>
      <c r="E247" s="110">
        <v>30</v>
      </c>
      <c r="F247" s="111">
        <v>1</v>
      </c>
      <c r="G247" s="25">
        <f>IFERROR(VLOOKUP(C247,'🥬 식재료 DB'!$C$7:$H$121,6,0),"")</f>
        <v>6</v>
      </c>
      <c r="H247" s="62">
        <f t="shared" si="11"/>
        <v>180</v>
      </c>
      <c r="I247" s="112"/>
      <c r="J247" s="112"/>
    </row>
    <row r="248" spans="2:11" ht="16.5" customHeight="1">
      <c r="B248" s="58">
        <v>5</v>
      </c>
      <c r="C248" s="6" t="s">
        <v>377</v>
      </c>
      <c r="D248" s="59" t="s">
        <v>292</v>
      </c>
      <c r="E248" s="60">
        <v>10</v>
      </c>
      <c r="F248" s="61">
        <v>1</v>
      </c>
      <c r="G248" s="25" t="str">
        <f>IFERROR(VLOOKUP(C248,'🥬 식재료 DB'!$C$7:$H$121,6,0),"")</f>
        <v/>
      </c>
      <c r="H248" s="62" t="str">
        <f t="shared" si="11"/>
        <v/>
      </c>
      <c r="I248" s="63"/>
      <c r="J248" s="63"/>
    </row>
    <row r="249" spans="2:11" ht="16.5" customHeight="1">
      <c r="B249" s="58">
        <v>6</v>
      </c>
      <c r="C249" s="109" t="s">
        <v>195</v>
      </c>
      <c r="D249" s="59" t="s">
        <v>292</v>
      </c>
      <c r="E249" s="110">
        <v>10</v>
      </c>
      <c r="F249" s="111">
        <v>1</v>
      </c>
      <c r="G249" s="25">
        <f>IFERROR(VLOOKUP(C249,'🥬 식재료 DB'!$C$7:$H$121,6,0),"")</f>
        <v>9</v>
      </c>
      <c r="H249" s="62">
        <f t="shared" si="11"/>
        <v>90</v>
      </c>
      <c r="I249" s="112"/>
      <c r="J249" s="112"/>
    </row>
    <row r="250" spans="2:11" ht="16.5" customHeight="1">
      <c r="B250" s="58">
        <v>7</v>
      </c>
      <c r="C250" s="6" t="s">
        <v>303</v>
      </c>
      <c r="D250" s="59" t="s">
        <v>292</v>
      </c>
      <c r="E250" s="60">
        <v>10</v>
      </c>
      <c r="F250" s="61">
        <v>1</v>
      </c>
      <c r="G250" s="25" t="str">
        <f>IFERROR(VLOOKUP(C250,'🥬 식재료 DB'!$C$7:$H$121,6,0),"")</f>
        <v/>
      </c>
      <c r="H250" s="62" t="str">
        <f t="shared" si="11"/>
        <v/>
      </c>
      <c r="I250" s="63"/>
      <c r="J250" s="63"/>
    </row>
    <row r="251" spans="2:11" ht="16.5" customHeight="1">
      <c r="B251" s="58">
        <v>8</v>
      </c>
      <c r="C251" s="113" t="s">
        <v>325</v>
      </c>
      <c r="D251" s="59" t="s">
        <v>292</v>
      </c>
      <c r="E251" s="110">
        <v>10</v>
      </c>
      <c r="F251" s="111">
        <v>1</v>
      </c>
      <c r="G251" s="25" t="str">
        <f>IFERROR(VLOOKUP(C251,'🥬 식재료 DB'!$C$7:$H$121,6,0),"")</f>
        <v/>
      </c>
      <c r="H251" s="62" t="str">
        <f t="shared" si="11"/>
        <v/>
      </c>
      <c r="I251" s="112"/>
      <c r="J251" s="112"/>
    </row>
    <row r="252" spans="2:11" ht="16.5" customHeight="1">
      <c r="B252" s="58">
        <v>9</v>
      </c>
      <c r="C252" s="6" t="s">
        <v>205</v>
      </c>
      <c r="D252" s="59" t="s">
        <v>292</v>
      </c>
      <c r="E252" s="60">
        <v>10</v>
      </c>
      <c r="F252" s="61">
        <v>1</v>
      </c>
      <c r="G252" s="25">
        <f>IFERROR(VLOOKUP(C252,'🥬 식재료 DB'!$C$7:$H$121,6,0),"")</f>
        <v>5.333333333333333</v>
      </c>
      <c r="H252" s="62">
        <f t="shared" si="11"/>
        <v>53.333333333333329</v>
      </c>
      <c r="I252" s="63"/>
      <c r="J252" s="63"/>
    </row>
    <row r="253" spans="2:11" ht="16.5" customHeight="1">
      <c r="B253" s="58">
        <v>10</v>
      </c>
      <c r="C253" s="68"/>
      <c r="D253" s="59" t="s">
        <v>292</v>
      </c>
      <c r="E253" s="69"/>
      <c r="F253" s="70"/>
      <c r="G253" s="25" t="str">
        <f>IFERROR(VLOOKUP(C253,'🥬 식재료 DB'!$C$7:$H$121,6,0),"")</f>
        <v/>
      </c>
      <c r="H253" s="62" t="str">
        <f t="shared" si="11"/>
        <v/>
      </c>
      <c r="I253" s="112"/>
      <c r="J253" s="112"/>
    </row>
    <row r="254" spans="2:11" ht="16.5" customHeight="1">
      <c r="B254" s="58">
        <v>11</v>
      </c>
      <c r="C254" s="68"/>
      <c r="D254" s="59" t="s">
        <v>292</v>
      </c>
      <c r="E254" s="69"/>
      <c r="F254" s="70"/>
      <c r="G254" s="25" t="str">
        <f>IFERROR(VLOOKUP(C254,'🥬 식재료 DB'!$C$7:$H$121,6,0),"")</f>
        <v/>
      </c>
      <c r="H254" s="62" t="str">
        <f t="shared" si="11"/>
        <v/>
      </c>
      <c r="I254" s="63"/>
      <c r="J254" s="63"/>
    </row>
    <row r="255" spans="2:11" ht="16.5" customHeight="1">
      <c r="B255" s="58">
        <v>12</v>
      </c>
      <c r="C255" s="68"/>
      <c r="D255" s="59" t="s">
        <v>292</v>
      </c>
      <c r="E255" s="69"/>
      <c r="F255" s="70"/>
      <c r="G255" s="25" t="str">
        <f>IFERROR(VLOOKUP(C255,'🥬 식재료 DB'!$C$7:$H$121,6,0),"")</f>
        <v/>
      </c>
      <c r="H255" s="62" t="str">
        <f t="shared" si="11"/>
        <v/>
      </c>
      <c r="I255" s="112"/>
      <c r="J255" s="112"/>
    </row>
    <row r="256" spans="2:11" ht="12.75" customHeight="1">
      <c r="B256" s="203" t="s">
        <v>293</v>
      </c>
      <c r="C256" s="203"/>
      <c r="D256" s="203"/>
      <c r="E256" s="203"/>
      <c r="F256" s="203"/>
      <c r="G256" s="203"/>
      <c r="H256" s="203"/>
      <c r="I256" s="203"/>
      <c r="J256" s="203"/>
      <c r="K256" s="203"/>
    </row>
    <row r="257" spans="2:11" ht="16.5" customHeight="1">
      <c r="B257" s="71">
        <v>13</v>
      </c>
      <c r="C257" s="68"/>
      <c r="D257" s="72" t="s">
        <v>295</v>
      </c>
      <c r="E257" s="69"/>
      <c r="F257" s="70"/>
      <c r="G257" s="73" t="str">
        <f>IFERROR(VLOOKUP(C257,'🧪 프렙 원가표'!$C$8:$D$18,2,0),IFERROR(VLOOKUP(C257,'🥬 식재료 DB'!$C$7:$H$121,6,0),""))</f>
        <v/>
      </c>
      <c r="H257" s="74" t="str">
        <f>IFERROR(IF(AND(C257&lt;&gt;"",ISNUMBER(E257),ISNUMBER(F257),F257&gt;0,ISNUMBER(G257)),E257/F257*G257,""),"")</f>
        <v/>
      </c>
      <c r="I257" s="63"/>
      <c r="J257" s="63"/>
    </row>
    <row r="258" spans="2:11" ht="16.5" customHeight="1">
      <c r="B258" s="71">
        <v>14</v>
      </c>
      <c r="C258" s="68"/>
      <c r="D258" s="72" t="s">
        <v>295</v>
      </c>
      <c r="E258" s="69"/>
      <c r="F258" s="70"/>
      <c r="G258" s="73" t="str">
        <f>IFERROR(VLOOKUP(C258,'🧪 프렙 원가표'!$C$8:$D$18,2,0),IFERROR(VLOOKUP(C258,'🥬 식재료 DB'!$C$7:$H$121,6,0),""))</f>
        <v/>
      </c>
      <c r="H258" s="74" t="str">
        <f>IFERROR(IF(AND(C258&lt;&gt;"",ISNUMBER(E258),ISNUMBER(F258),F258&gt;0,ISNUMBER(G258)),E258/F258*G258,""),"")</f>
        <v/>
      </c>
      <c r="I258" s="77"/>
      <c r="J258" s="77"/>
    </row>
    <row r="259" spans="2:11" ht="16.5" customHeight="1">
      <c r="B259" s="71">
        <v>15</v>
      </c>
      <c r="C259" s="68"/>
      <c r="D259" s="72" t="s">
        <v>295</v>
      </c>
      <c r="E259" s="69"/>
      <c r="F259" s="70"/>
      <c r="G259" s="73" t="str">
        <f>IFERROR(VLOOKUP(C259,'🧪 프렙 원가표'!$C$8:$D$18,2,0),IFERROR(VLOOKUP(C259,'🥬 식재료 DB'!$C$7:$H$121,6,0),""))</f>
        <v/>
      </c>
      <c r="H259" s="74" t="str">
        <f>IFERROR(IF(AND(C259&lt;&gt;"",ISNUMBER(E259),ISNUMBER(F259),F259&gt;0,ISNUMBER(G259)),E259/F259*G259,""),"")</f>
        <v/>
      </c>
      <c r="I259" s="63"/>
      <c r="J259" s="63"/>
    </row>
    <row r="260" spans="2:11" ht="16.5" customHeight="1">
      <c r="B260" s="71">
        <v>16</v>
      </c>
      <c r="C260" s="68"/>
      <c r="D260" s="72" t="s">
        <v>295</v>
      </c>
      <c r="E260" s="69"/>
      <c r="F260" s="70"/>
      <c r="G260" s="73" t="str">
        <f>IFERROR(VLOOKUP(C260,'🧪 프렙 원가표'!$C$8:$D$18,2,0),IFERROR(VLOOKUP(C260,'🥬 식재료 DB'!$C$7:$H$121,6,0),""))</f>
        <v/>
      </c>
      <c r="H260" s="74" t="str">
        <f>IFERROR(IF(AND(C260&lt;&gt;"",ISNUMBER(E260),ISNUMBER(F260),F260&gt;0,ISNUMBER(G260)),E260/F260*G260,""),"")</f>
        <v/>
      </c>
      <c r="I260" s="77"/>
      <c r="J260" s="77"/>
    </row>
    <row r="261" spans="2:11" ht="16.5" customHeight="1">
      <c r="B261" s="71">
        <v>17</v>
      </c>
      <c r="C261" s="68"/>
      <c r="D261" s="72" t="s">
        <v>295</v>
      </c>
      <c r="E261" s="69"/>
      <c r="F261" s="70"/>
      <c r="G261" s="73" t="str">
        <f>IFERROR(VLOOKUP(C261,'🧪 프렙 원가표'!$C$8:$D$18,2,0),IFERROR(VLOOKUP(C261,'🥬 식재료 DB'!$C$7:$H$121,6,0),""))</f>
        <v/>
      </c>
      <c r="H261" s="74" t="str">
        <f>IFERROR(IF(AND(C261&lt;&gt;"",ISNUMBER(E261),ISNUMBER(F261),F261&gt;0,ISNUMBER(G261)),E261/F261*G261,""),"")</f>
        <v/>
      </c>
      <c r="I261" s="63"/>
      <c r="J261" s="63"/>
    </row>
    <row r="262" spans="2:11" ht="3.75" customHeight="1">
      <c r="B262" s="78"/>
      <c r="C262" s="78"/>
      <c r="D262" s="78"/>
      <c r="E262" s="78"/>
      <c r="F262" s="78"/>
      <c r="G262" s="78"/>
      <c r="H262" s="78"/>
      <c r="I262" s="78"/>
      <c r="J262" s="78"/>
      <c r="K262" s="78"/>
    </row>
    <row r="263" spans="2:11" ht="27" customHeight="1">
      <c r="B263" s="50"/>
      <c r="C263" s="51" t="s">
        <v>395</v>
      </c>
      <c r="D263" s="50"/>
      <c r="E263" s="52">
        <v>9000</v>
      </c>
      <c r="F263" s="53">
        <f>IFERROR(SUM(H265,H266,H267,H268,H269,H270,H271,H272,H273,H274,H275,H276,H278,H279,H280,H281,H282),0)</f>
        <v>1218.3333333333335</v>
      </c>
      <c r="G263" s="54">
        <f>IFERROR(E263*'💰 고정비용 DB'!$D$22/'💰 고정비용 DB'!$D$25,0)</f>
        <v>5942.673593820733</v>
      </c>
      <c r="H263" s="55">
        <f>IFERROR(G263-F263,"")</f>
        <v>4724.3402604873991</v>
      </c>
      <c r="I263" s="56">
        <f>IFERROR(H263/E263,"")</f>
        <v>0.52492669560971106</v>
      </c>
      <c r="J263" s="57" t="str">
        <f>IF(I263="","⬜ 미입력",IF(I263&lt;=0.2,"✅ 양호",IF(I263&lt;=0.32,"🟡 주의","🔴 과다")))</f>
        <v>🔴 과다</v>
      </c>
      <c r="K263" s="50"/>
    </row>
    <row r="264" spans="2:11" ht="12.75" customHeight="1">
      <c r="B264" s="204" t="s">
        <v>291</v>
      </c>
      <c r="C264" s="204"/>
      <c r="D264" s="204"/>
      <c r="E264" s="204"/>
      <c r="F264" s="204"/>
      <c r="G264" s="204"/>
      <c r="H264" s="204"/>
      <c r="I264" s="204"/>
      <c r="J264" s="204"/>
      <c r="K264" s="204"/>
    </row>
    <row r="265" spans="2:11" ht="16.5" customHeight="1">
      <c r="B265" s="58">
        <v>1</v>
      </c>
      <c r="C265" s="6" t="s">
        <v>140</v>
      </c>
      <c r="D265" s="59" t="s">
        <v>292</v>
      </c>
      <c r="E265" s="60">
        <v>50</v>
      </c>
      <c r="F265" s="61">
        <v>1</v>
      </c>
      <c r="G265" s="25">
        <f>IFERROR(VLOOKUP(C265,'🥬 식재료 DB'!$C$7:$H$121,6,0),"")</f>
        <v>0.93333333333333335</v>
      </c>
      <c r="H265" s="62">
        <f t="shared" ref="H265:H276" si="12">IFERROR(IF(AND(C265&lt;&gt;"",ISNUMBER(E265),ISNUMBER(F265),F265&gt;0,ISNUMBER(G265)),E265/F265*G265,""),"")</f>
        <v>46.666666666666664</v>
      </c>
      <c r="I265" s="63"/>
      <c r="J265" s="63"/>
    </row>
    <row r="266" spans="2:11" ht="16.5" customHeight="1">
      <c r="B266" s="58">
        <v>2</v>
      </c>
      <c r="C266" s="109" t="s">
        <v>244</v>
      </c>
      <c r="D266" s="59" t="s">
        <v>292</v>
      </c>
      <c r="E266" s="110">
        <v>50</v>
      </c>
      <c r="F266" s="111">
        <v>1</v>
      </c>
      <c r="G266" s="25">
        <f>IFERROR(VLOOKUP(C266,'🥬 식재료 DB'!$C$7:$H$121,6,0),"")</f>
        <v>5.5</v>
      </c>
      <c r="H266" s="62">
        <f t="shared" si="12"/>
        <v>275</v>
      </c>
      <c r="I266" s="112"/>
      <c r="J266" s="112"/>
    </row>
    <row r="267" spans="2:11" ht="16.5" customHeight="1">
      <c r="B267" s="58">
        <v>3</v>
      </c>
      <c r="C267" s="6" t="s">
        <v>218</v>
      </c>
      <c r="D267" s="59" t="s">
        <v>292</v>
      </c>
      <c r="E267" s="60">
        <v>70</v>
      </c>
      <c r="F267" s="61">
        <v>1</v>
      </c>
      <c r="G267" s="25">
        <f>IFERROR(VLOOKUP(C267,'🥬 식재료 DB'!$C$7:$H$121,6,0),"")</f>
        <v>6.666666666666667</v>
      </c>
      <c r="H267" s="62">
        <f t="shared" si="12"/>
        <v>466.66666666666669</v>
      </c>
      <c r="I267" s="63"/>
      <c r="J267" s="63"/>
    </row>
    <row r="268" spans="2:11" ht="16.5" customHeight="1">
      <c r="B268" s="58">
        <v>4</v>
      </c>
      <c r="C268" s="109" t="s">
        <v>236</v>
      </c>
      <c r="D268" s="59" t="s">
        <v>292</v>
      </c>
      <c r="E268" s="110">
        <v>30</v>
      </c>
      <c r="F268" s="111">
        <v>1</v>
      </c>
      <c r="G268" s="25">
        <f>IFERROR(VLOOKUP(C268,'🥬 식재료 DB'!$C$7:$H$121,6,0),"")</f>
        <v>14</v>
      </c>
      <c r="H268" s="62">
        <f t="shared" si="12"/>
        <v>420</v>
      </c>
      <c r="I268" s="112"/>
      <c r="J268" s="112"/>
    </row>
    <row r="269" spans="2:11" ht="16.5" customHeight="1">
      <c r="B269" s="58">
        <v>5</v>
      </c>
      <c r="C269" s="17" t="s">
        <v>390</v>
      </c>
      <c r="D269" s="59" t="s">
        <v>292</v>
      </c>
      <c r="E269" s="60">
        <v>30</v>
      </c>
      <c r="F269" s="61">
        <v>1</v>
      </c>
      <c r="G269" s="25" t="str">
        <f>IFERROR(VLOOKUP(C269,'🥬 식재료 DB'!$C$7:$H$121,6,0),"")</f>
        <v/>
      </c>
      <c r="H269" s="62" t="str">
        <f t="shared" si="12"/>
        <v/>
      </c>
      <c r="I269" s="63"/>
      <c r="J269" s="63"/>
    </row>
    <row r="270" spans="2:11" ht="16.5" customHeight="1">
      <c r="B270" s="58">
        <v>6</v>
      </c>
      <c r="C270" s="113" t="s">
        <v>325</v>
      </c>
      <c r="D270" s="59" t="s">
        <v>292</v>
      </c>
      <c r="E270" s="110">
        <v>10</v>
      </c>
      <c r="F270" s="111">
        <v>1</v>
      </c>
      <c r="G270" s="25" t="str">
        <f>IFERROR(VLOOKUP(C270,'🥬 식재료 DB'!$C$7:$H$121,6,0),"")</f>
        <v/>
      </c>
      <c r="H270" s="62" t="str">
        <f t="shared" si="12"/>
        <v/>
      </c>
      <c r="I270" s="112"/>
      <c r="J270" s="112"/>
    </row>
    <row r="271" spans="2:11" ht="16.5" customHeight="1">
      <c r="B271" s="58">
        <v>7</v>
      </c>
      <c r="C271" s="6" t="s">
        <v>168</v>
      </c>
      <c r="D271" s="59" t="s">
        <v>292</v>
      </c>
      <c r="E271" s="60">
        <v>10</v>
      </c>
      <c r="F271" s="61">
        <v>1</v>
      </c>
      <c r="G271" s="25">
        <f>IFERROR(VLOOKUP(C271,'🥬 식재료 DB'!$C$7:$H$121,6,0),"")</f>
        <v>1</v>
      </c>
      <c r="H271" s="62">
        <f t="shared" si="12"/>
        <v>10</v>
      </c>
      <c r="I271" s="63"/>
      <c r="J271" s="63"/>
    </row>
    <row r="272" spans="2:11" ht="16.5" customHeight="1">
      <c r="B272" s="58">
        <v>8</v>
      </c>
      <c r="C272" s="68"/>
      <c r="D272" s="59" t="s">
        <v>292</v>
      </c>
      <c r="E272" s="69"/>
      <c r="F272" s="70"/>
      <c r="G272" s="25" t="str">
        <f>IFERROR(VLOOKUP(C272,'🥬 식재료 DB'!$C$7:$H$121,6,0),"")</f>
        <v/>
      </c>
      <c r="H272" s="62" t="str">
        <f t="shared" si="12"/>
        <v/>
      </c>
      <c r="I272" s="112"/>
      <c r="J272" s="112"/>
    </row>
    <row r="273" spans="2:11" ht="16.5" customHeight="1">
      <c r="B273" s="58">
        <v>9</v>
      </c>
      <c r="C273" s="68"/>
      <c r="D273" s="59" t="s">
        <v>292</v>
      </c>
      <c r="E273" s="69"/>
      <c r="F273" s="70"/>
      <c r="G273" s="25" t="str">
        <f>IFERROR(VLOOKUP(C273,'🥬 식재료 DB'!$C$7:$H$121,6,0),"")</f>
        <v/>
      </c>
      <c r="H273" s="62" t="str">
        <f t="shared" si="12"/>
        <v/>
      </c>
      <c r="I273" s="63"/>
      <c r="J273" s="63"/>
    </row>
    <row r="274" spans="2:11" ht="16.5" customHeight="1">
      <c r="B274" s="58">
        <v>10</v>
      </c>
      <c r="C274" s="68"/>
      <c r="D274" s="59" t="s">
        <v>292</v>
      </c>
      <c r="E274" s="69"/>
      <c r="F274" s="70"/>
      <c r="G274" s="25" t="str">
        <f>IFERROR(VLOOKUP(C274,'🥬 식재료 DB'!$C$7:$H$121,6,0),"")</f>
        <v/>
      </c>
      <c r="H274" s="62" t="str">
        <f t="shared" si="12"/>
        <v/>
      </c>
      <c r="I274" s="112"/>
      <c r="J274" s="112"/>
    </row>
    <row r="275" spans="2:11" ht="16.5" customHeight="1">
      <c r="B275" s="58">
        <v>11</v>
      </c>
      <c r="C275" s="68"/>
      <c r="D275" s="59" t="s">
        <v>292</v>
      </c>
      <c r="E275" s="69"/>
      <c r="F275" s="70"/>
      <c r="G275" s="25" t="str">
        <f>IFERROR(VLOOKUP(C275,'🥬 식재료 DB'!$C$7:$H$121,6,0),"")</f>
        <v/>
      </c>
      <c r="H275" s="62" t="str">
        <f t="shared" si="12"/>
        <v/>
      </c>
      <c r="I275" s="63"/>
      <c r="J275" s="63"/>
    </row>
    <row r="276" spans="2:11" ht="16.5" customHeight="1">
      <c r="B276" s="58">
        <v>12</v>
      </c>
      <c r="C276" s="68"/>
      <c r="D276" s="59" t="s">
        <v>292</v>
      </c>
      <c r="E276" s="69"/>
      <c r="F276" s="70"/>
      <c r="G276" s="25" t="str">
        <f>IFERROR(VLOOKUP(C276,'🥬 식재료 DB'!$C$7:$H$121,6,0),"")</f>
        <v/>
      </c>
      <c r="H276" s="62" t="str">
        <f t="shared" si="12"/>
        <v/>
      </c>
      <c r="I276" s="112"/>
      <c r="J276" s="112"/>
    </row>
    <row r="277" spans="2:11" ht="12.75" customHeight="1">
      <c r="B277" s="203" t="s">
        <v>293</v>
      </c>
      <c r="C277" s="203"/>
      <c r="D277" s="203"/>
      <c r="E277" s="203"/>
      <c r="F277" s="203"/>
      <c r="G277" s="203"/>
      <c r="H277" s="203"/>
      <c r="I277" s="203"/>
      <c r="J277" s="203"/>
      <c r="K277" s="203"/>
    </row>
    <row r="278" spans="2:11" ht="16.5" customHeight="1">
      <c r="B278" s="71">
        <v>13</v>
      </c>
      <c r="C278" s="68"/>
      <c r="D278" s="72" t="s">
        <v>295</v>
      </c>
      <c r="E278" s="69"/>
      <c r="F278" s="70"/>
      <c r="G278" s="73" t="str">
        <f>IFERROR(VLOOKUP(C278,'🧪 프렙 원가표'!$C$8:$D$18,2,0),IFERROR(VLOOKUP(C278,'🥬 식재료 DB'!$C$7:$H$121,6,0),""))</f>
        <v/>
      </c>
      <c r="H278" s="74" t="str">
        <f>IFERROR(IF(AND(C278&lt;&gt;"",ISNUMBER(E278),ISNUMBER(F278),F278&gt;0,ISNUMBER(G278)),E278/F278*G278,""),"")</f>
        <v/>
      </c>
      <c r="I278" s="63"/>
      <c r="J278" s="63"/>
    </row>
    <row r="279" spans="2:11" ht="16.5" customHeight="1">
      <c r="B279" s="71">
        <v>14</v>
      </c>
      <c r="C279" s="68"/>
      <c r="D279" s="72" t="s">
        <v>295</v>
      </c>
      <c r="E279" s="69"/>
      <c r="F279" s="70"/>
      <c r="G279" s="73" t="str">
        <f>IFERROR(VLOOKUP(C279,'🧪 프렙 원가표'!$C$8:$D$18,2,0),IFERROR(VLOOKUP(C279,'🥬 식재료 DB'!$C$7:$H$121,6,0),""))</f>
        <v/>
      </c>
      <c r="H279" s="74" t="str">
        <f>IFERROR(IF(AND(C279&lt;&gt;"",ISNUMBER(E279),ISNUMBER(F279),F279&gt;0,ISNUMBER(G279)),E279/F279*G279,""),"")</f>
        <v/>
      </c>
      <c r="I279" s="77"/>
      <c r="J279" s="77"/>
    </row>
    <row r="280" spans="2:11" ht="16.5" customHeight="1">
      <c r="B280" s="71">
        <v>15</v>
      </c>
      <c r="C280" s="68"/>
      <c r="D280" s="72" t="s">
        <v>295</v>
      </c>
      <c r="E280" s="69"/>
      <c r="F280" s="70"/>
      <c r="G280" s="73" t="str">
        <f>IFERROR(VLOOKUP(C280,'🧪 프렙 원가표'!$C$8:$D$18,2,0),IFERROR(VLOOKUP(C280,'🥬 식재료 DB'!$C$7:$H$121,6,0),""))</f>
        <v/>
      </c>
      <c r="H280" s="74" t="str">
        <f>IFERROR(IF(AND(C280&lt;&gt;"",ISNUMBER(E280),ISNUMBER(F280),F280&gt;0,ISNUMBER(G280)),E280/F280*G280,""),"")</f>
        <v/>
      </c>
      <c r="I280" s="63"/>
      <c r="J280" s="63"/>
    </row>
    <row r="281" spans="2:11" ht="16.5" customHeight="1">
      <c r="B281" s="71">
        <v>16</v>
      </c>
      <c r="C281" s="68"/>
      <c r="D281" s="72" t="s">
        <v>295</v>
      </c>
      <c r="E281" s="69"/>
      <c r="F281" s="70"/>
      <c r="G281" s="73" t="str">
        <f>IFERROR(VLOOKUP(C281,'🧪 프렙 원가표'!$C$8:$D$18,2,0),IFERROR(VLOOKUP(C281,'🥬 식재료 DB'!$C$7:$H$121,6,0),""))</f>
        <v/>
      </c>
      <c r="H281" s="74" t="str">
        <f>IFERROR(IF(AND(C281&lt;&gt;"",ISNUMBER(E281),ISNUMBER(F281),F281&gt;0,ISNUMBER(G281)),E281/F281*G281,""),"")</f>
        <v/>
      </c>
      <c r="I281" s="77"/>
      <c r="J281" s="77"/>
    </row>
    <row r="282" spans="2:11" ht="16.5" customHeight="1">
      <c r="B282" s="71">
        <v>17</v>
      </c>
      <c r="C282" s="68"/>
      <c r="D282" s="72" t="s">
        <v>295</v>
      </c>
      <c r="E282" s="69"/>
      <c r="F282" s="70"/>
      <c r="G282" s="73" t="str">
        <f>IFERROR(VLOOKUP(C282,'🧪 프렙 원가표'!$C$8:$D$18,2,0),IFERROR(VLOOKUP(C282,'🥬 식재료 DB'!$C$7:$H$121,6,0),""))</f>
        <v/>
      </c>
      <c r="H282" s="74" t="str">
        <f>IFERROR(IF(AND(C282&lt;&gt;"",ISNUMBER(E282),ISNUMBER(F282),F282&gt;0,ISNUMBER(G282)),E282/F282*G282,""),"")</f>
        <v/>
      </c>
      <c r="I282" s="63"/>
      <c r="J282" s="63"/>
    </row>
    <row r="283" spans="2:11" ht="3.75" customHeight="1">
      <c r="B283" s="78"/>
      <c r="C283" s="78"/>
      <c r="D283" s="78"/>
      <c r="E283" s="78"/>
      <c r="F283" s="78"/>
      <c r="G283" s="78"/>
      <c r="H283" s="78"/>
      <c r="I283" s="78"/>
      <c r="J283" s="78"/>
      <c r="K283" s="78"/>
    </row>
  </sheetData>
  <mergeCells count="29">
    <mergeCell ref="B2:K2"/>
    <mergeCell ref="B4:K4"/>
    <mergeCell ref="B5:K5"/>
    <mergeCell ref="B9:K9"/>
    <mergeCell ref="B22:K22"/>
    <mergeCell ref="B30:K30"/>
    <mergeCell ref="B43:K43"/>
    <mergeCell ref="B51:K51"/>
    <mergeCell ref="B64:K64"/>
    <mergeCell ref="B72:K72"/>
    <mergeCell ref="B85:K85"/>
    <mergeCell ref="B93:K93"/>
    <mergeCell ref="B106:K106"/>
    <mergeCell ref="B114:K114"/>
    <mergeCell ref="B127:K127"/>
    <mergeCell ref="B135:K135"/>
    <mergeCell ref="B148:K148"/>
    <mergeCell ref="B156:K156"/>
    <mergeCell ref="B169:K169"/>
    <mergeCell ref="B177:K177"/>
    <mergeCell ref="B243:K243"/>
    <mergeCell ref="B256:K256"/>
    <mergeCell ref="B264:K264"/>
    <mergeCell ref="B277:K277"/>
    <mergeCell ref="B191:K191"/>
    <mergeCell ref="B199:K199"/>
    <mergeCell ref="B214:K214"/>
    <mergeCell ref="B222:K222"/>
    <mergeCell ref="B235:K235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6E63"/>
  </sheetPr>
  <dimension ref="A1:K154"/>
  <sheetViews>
    <sheetView showGridLines="0" zoomScaleNormal="100" workbookViewId="0">
      <pane xSplit="2" ySplit="7" topLeftCell="C149" activePane="bottomRight" state="frozen"/>
      <selection pane="topRight" activeCell="C1" sqref="C1"/>
      <selection pane="bottomLeft" activeCell="A8" sqref="A8"/>
      <selection pane="bottomRight" activeCell="H134" sqref="H134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12" t="s">
        <v>396</v>
      </c>
      <c r="C2" s="212"/>
      <c r="D2" s="212"/>
      <c r="E2" s="212"/>
      <c r="F2" s="212"/>
      <c r="G2" s="212"/>
      <c r="H2" s="212"/>
      <c r="I2" s="212"/>
      <c r="J2" s="212"/>
      <c r="K2" s="212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114" t="s">
        <v>6</v>
      </c>
      <c r="C7" s="115" t="s">
        <v>130</v>
      </c>
      <c r="D7" s="115" t="s">
        <v>284</v>
      </c>
      <c r="E7" s="115" t="s">
        <v>285</v>
      </c>
      <c r="F7" s="115" t="s">
        <v>286</v>
      </c>
      <c r="G7" s="114" t="s">
        <v>287</v>
      </c>
      <c r="H7" s="115" t="s">
        <v>288</v>
      </c>
      <c r="I7" s="115" t="s">
        <v>289</v>
      </c>
    </row>
    <row r="8" spans="2:11" ht="27" customHeight="1">
      <c r="B8" s="50"/>
      <c r="C8" s="51" t="s">
        <v>397</v>
      </c>
      <c r="D8" s="50"/>
      <c r="E8" s="52">
        <v>4000</v>
      </c>
      <c r="F8" s="53">
        <f>IFERROR(SUM(H10,H11,H12,H13,H14,H15,H16,H17,H18,H19,H20,H21,H23,H24,H25,H26,H27),0)</f>
        <v>238</v>
      </c>
      <c r="G8" s="54">
        <f>IFERROR(E8*'💰 고정비용 DB'!$D$22/'💰 고정비용 DB'!$D$25,0)</f>
        <v>2641.1882639203259</v>
      </c>
      <c r="H8" s="55">
        <f>IFERROR(G8-F8,"")</f>
        <v>2403.1882639203259</v>
      </c>
      <c r="I8" s="56">
        <f>IFERROR(H8/E8,"")</f>
        <v>0.60079706598008142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136</v>
      </c>
      <c r="D10" s="59" t="s">
        <v>292</v>
      </c>
      <c r="E10" s="60">
        <v>160</v>
      </c>
      <c r="F10" s="61">
        <v>1</v>
      </c>
      <c r="G10" s="25">
        <f>IFERROR(VLOOKUP(C10,'🥬 식재료 DB'!$C$7:$H$121,6,0),"")</f>
        <v>0.75</v>
      </c>
      <c r="H10" s="62">
        <f t="shared" ref="H10:H21" si="0">IFERROR(IF(AND(C10&lt;&gt;"",ISNUMBER(E10),ISNUMBER(F10),F10&gt;0,ISNUMBER(G10)),E10/F10*G10,""),"")</f>
        <v>120</v>
      </c>
      <c r="I10" s="63"/>
      <c r="J10" s="63"/>
    </row>
    <row r="11" spans="2:11" ht="16.5" customHeight="1">
      <c r="B11" s="58">
        <v>2</v>
      </c>
      <c r="C11" s="116" t="s">
        <v>398</v>
      </c>
      <c r="D11" s="59" t="s">
        <v>292</v>
      </c>
      <c r="E11" s="117">
        <v>20</v>
      </c>
      <c r="F11" s="118">
        <v>1</v>
      </c>
      <c r="G11" s="25" t="str">
        <f>IFERROR(VLOOKUP(C11,'🥬 식재료 DB'!$C$7:$H$121,6,0),"")</f>
        <v/>
      </c>
      <c r="H11" s="62" t="str">
        <f t="shared" si="0"/>
        <v/>
      </c>
      <c r="I11" s="119"/>
      <c r="J11" s="119"/>
    </row>
    <row r="12" spans="2:11" ht="16.5" customHeight="1">
      <c r="B12" s="58">
        <v>3</v>
      </c>
      <c r="C12" s="6" t="s">
        <v>203</v>
      </c>
      <c r="D12" s="59" t="s">
        <v>292</v>
      </c>
      <c r="E12" s="60">
        <v>50</v>
      </c>
      <c r="F12" s="61">
        <v>1</v>
      </c>
      <c r="G12" s="25">
        <f>IFERROR(VLOOKUP(C12,'🥬 식재료 DB'!$C$7:$H$121,6,0),"")</f>
        <v>2.36</v>
      </c>
      <c r="H12" s="62">
        <f t="shared" si="0"/>
        <v>118</v>
      </c>
      <c r="I12" s="63"/>
      <c r="J12" s="63"/>
    </row>
    <row r="13" spans="2:11" ht="16.5" customHeight="1">
      <c r="B13" s="58">
        <v>4</v>
      </c>
      <c r="C13" s="68"/>
      <c r="D13" s="59" t="s">
        <v>292</v>
      </c>
      <c r="E13" s="69"/>
      <c r="F13" s="70"/>
      <c r="G13" s="25" t="str">
        <f>IFERROR(VLOOKUP(C13,'🥬 식재료 DB'!$C$7:$H$121,6,0),"")</f>
        <v/>
      </c>
      <c r="H13" s="62" t="str">
        <f t="shared" si="0"/>
        <v/>
      </c>
      <c r="I13" s="119"/>
      <c r="J13" s="119"/>
    </row>
    <row r="14" spans="2:11" ht="16.5" customHeight="1">
      <c r="B14" s="58">
        <v>5</v>
      </c>
      <c r="C14" s="68"/>
      <c r="D14" s="59" t="s">
        <v>292</v>
      </c>
      <c r="E14" s="69"/>
      <c r="F14" s="70"/>
      <c r="G14" s="25" t="str">
        <f>IFERROR(VLOOKUP(C14,'🥬 식재료 DB'!$C$7:$H$121,6,0),"")</f>
        <v/>
      </c>
      <c r="H14" s="62" t="str">
        <f t="shared" si="0"/>
        <v/>
      </c>
      <c r="I14" s="63"/>
      <c r="J14" s="63"/>
    </row>
    <row r="15" spans="2:11" ht="16.5" customHeight="1">
      <c r="B15" s="58">
        <v>6</v>
      </c>
      <c r="C15" s="68"/>
      <c r="D15" s="59" t="s">
        <v>292</v>
      </c>
      <c r="E15" s="69"/>
      <c r="F15" s="70"/>
      <c r="G15" s="25" t="str">
        <f>IFERROR(VLOOKUP(C15,'🥬 식재료 DB'!$C$7:$H$121,6,0),"")</f>
        <v/>
      </c>
      <c r="H15" s="62" t="str">
        <f t="shared" si="0"/>
        <v/>
      </c>
      <c r="I15" s="119"/>
      <c r="J15" s="119"/>
    </row>
    <row r="16" spans="2:11" ht="16.5" customHeight="1">
      <c r="B16" s="58">
        <v>7</v>
      </c>
      <c r="C16" s="68"/>
      <c r="D16" s="59" t="s">
        <v>292</v>
      </c>
      <c r="E16" s="69"/>
      <c r="F16" s="70"/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68"/>
      <c r="D17" s="59" t="s">
        <v>292</v>
      </c>
      <c r="E17" s="69"/>
      <c r="F17" s="70"/>
      <c r="G17" s="25" t="str">
        <f>IFERROR(VLOOKUP(C17,'🥬 식재료 DB'!$C$7:$H$121,6,0),"")</f>
        <v/>
      </c>
      <c r="H17" s="62" t="str">
        <f t="shared" si="0"/>
        <v/>
      </c>
      <c r="I17" s="119"/>
      <c r="J17" s="119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119"/>
      <c r="J19" s="119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119"/>
      <c r="J21" s="119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8"/>
      <c r="D23" s="72" t="s">
        <v>295</v>
      </c>
      <c r="E23" s="69"/>
      <c r="F23" s="70"/>
      <c r="G23" s="73" t="str">
        <f>IFERROR(VLOOKUP(C23,'🧪 프렙 원가표'!$C$8:$D$18,2,0),IFERROR(VLOOKUP(C23,'🥬 식재료 DB'!$C$7:$H$121,6,0),""))</f>
        <v/>
      </c>
      <c r="H23" s="74" t="str">
        <f>IFERROR(IF(AND(C23&lt;&gt;"",ISNUMBER(E23),ISNUMBER(F23),F23&gt;0,ISNUMBER(G23)),E23/F23*G23,""),"")</f>
        <v/>
      </c>
      <c r="I23" s="63"/>
      <c r="J23" s="63"/>
    </row>
    <row r="24" spans="2:11" ht="16.5" customHeight="1">
      <c r="B24" s="71">
        <v>14</v>
      </c>
      <c r="C24" s="68"/>
      <c r="D24" s="72" t="s">
        <v>295</v>
      </c>
      <c r="E24" s="69"/>
      <c r="F24" s="70"/>
      <c r="G24" s="73" t="str">
        <f>IFERROR(VLOOKUP(C24,'🧪 프렙 원가표'!$C$8:$D$18,2,0),IFERROR(VLOOKUP(C24,'🥬 식재료 DB'!$C$7:$H$121,6,0),""))</f>
        <v/>
      </c>
      <c r="H24" s="74" t="str">
        <f>IFERROR(IF(AND(C24&lt;&gt;"",ISNUMBER(E24),ISNUMBER(F24),F24&gt;0,ISNUMBER(G24)),E24/F24*G24,""),"")</f>
        <v/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399</v>
      </c>
      <c r="D29" s="50"/>
      <c r="E29" s="52">
        <v>6000</v>
      </c>
      <c r="F29" s="53">
        <f>IFERROR(SUM(H31,H32,H33,H34,H35,H36,H37,H38,H39,H40,H41,H42,H44,H45,H46,H47,H48),0)</f>
        <v>1973.125</v>
      </c>
      <c r="G29" s="54">
        <f>IFERROR(E29*'💰 고정비용 DB'!$D$22/'💰 고정비용 DB'!$D$25,0)</f>
        <v>3961.7823958804888</v>
      </c>
      <c r="H29" s="55">
        <f>IFERROR(G29-F29,"")</f>
        <v>1988.6573958804888</v>
      </c>
      <c r="I29" s="56">
        <f>IFERROR(H29/E29,"")</f>
        <v>0.33144289931341481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136</v>
      </c>
      <c r="D31" s="59" t="s">
        <v>292</v>
      </c>
      <c r="E31" s="60">
        <v>160</v>
      </c>
      <c r="F31" s="61">
        <v>1</v>
      </c>
      <c r="G31" s="25">
        <f>IFERROR(VLOOKUP(C31,'🥬 식재료 DB'!$C$7:$H$121,6,0),"")</f>
        <v>0.75</v>
      </c>
      <c r="H31" s="62">
        <f t="shared" ref="H31:H42" si="1">IFERROR(IF(AND(C31&lt;&gt;"",ISNUMBER(E31),ISNUMBER(F31),F31&gt;0,ISNUMBER(G31)),E31/F31*G31,""),"")</f>
        <v>120</v>
      </c>
      <c r="I31" s="63"/>
      <c r="J31" s="63"/>
    </row>
    <row r="32" spans="2:11" ht="16.5" customHeight="1">
      <c r="B32" s="58">
        <v>2</v>
      </c>
      <c r="C32" s="120" t="s">
        <v>182</v>
      </c>
      <c r="D32" s="59" t="s">
        <v>292</v>
      </c>
      <c r="E32" s="117">
        <v>5</v>
      </c>
      <c r="F32" s="118">
        <v>1</v>
      </c>
      <c r="G32" s="25">
        <f>IFERROR(VLOOKUP(C32,'🥬 식재료 DB'!$C$7:$H$121,6,0),"")</f>
        <v>18.125</v>
      </c>
      <c r="H32" s="62">
        <f t="shared" si="1"/>
        <v>90.625</v>
      </c>
      <c r="I32" s="119"/>
      <c r="J32" s="119"/>
    </row>
    <row r="33" spans="2:11" ht="16.5" customHeight="1">
      <c r="B33" s="58">
        <v>3</v>
      </c>
      <c r="C33" s="6" t="s">
        <v>248</v>
      </c>
      <c r="D33" s="59" t="s">
        <v>292</v>
      </c>
      <c r="E33" s="60">
        <v>75</v>
      </c>
      <c r="F33" s="61">
        <v>1</v>
      </c>
      <c r="G33" s="25">
        <f>IFERROR(VLOOKUP(C33,'🥬 식재료 DB'!$C$7:$H$121,6,0),"")</f>
        <v>23.5</v>
      </c>
      <c r="H33" s="62">
        <f t="shared" si="1"/>
        <v>1762.5</v>
      </c>
      <c r="I33" s="63"/>
      <c r="J33" s="63"/>
    </row>
    <row r="34" spans="2:11" ht="16.5" customHeight="1">
      <c r="B34" s="58">
        <v>4</v>
      </c>
      <c r="C34" s="68"/>
      <c r="D34" s="59" t="s">
        <v>292</v>
      </c>
      <c r="E34" s="69"/>
      <c r="F34" s="70"/>
      <c r="G34" s="25" t="str">
        <f>IFERROR(VLOOKUP(C34,'🥬 식재료 DB'!$C$7:$H$121,6,0),"")</f>
        <v/>
      </c>
      <c r="H34" s="62" t="str">
        <f t="shared" si="1"/>
        <v/>
      </c>
      <c r="I34" s="119"/>
      <c r="J34" s="119"/>
    </row>
    <row r="35" spans="2:11" ht="16.5" customHeight="1">
      <c r="B35" s="58">
        <v>5</v>
      </c>
      <c r="C35" s="68"/>
      <c r="D35" s="59" t="s">
        <v>292</v>
      </c>
      <c r="E35" s="69"/>
      <c r="F35" s="70"/>
      <c r="G35" s="25" t="str">
        <f>IFERROR(VLOOKUP(C35,'🥬 식재료 DB'!$C$7:$H$121,6,0),"")</f>
        <v/>
      </c>
      <c r="H35" s="62" t="str">
        <f t="shared" si="1"/>
        <v/>
      </c>
      <c r="I35" s="63"/>
      <c r="J35" s="63"/>
    </row>
    <row r="36" spans="2:11" ht="16.5" customHeight="1">
      <c r="B36" s="58">
        <v>6</v>
      </c>
      <c r="C36" s="68"/>
      <c r="D36" s="59" t="s">
        <v>292</v>
      </c>
      <c r="E36" s="69"/>
      <c r="F36" s="70"/>
      <c r="G36" s="25" t="str">
        <f>IFERROR(VLOOKUP(C36,'🥬 식재료 DB'!$C$7:$H$121,6,0),"")</f>
        <v/>
      </c>
      <c r="H36" s="62" t="str">
        <f t="shared" si="1"/>
        <v/>
      </c>
      <c r="I36" s="119"/>
      <c r="J36" s="119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119"/>
      <c r="J38" s="119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119"/>
      <c r="J40" s="119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119"/>
      <c r="J42" s="119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8"/>
      <c r="D44" s="72" t="s">
        <v>295</v>
      </c>
      <c r="E44" s="69"/>
      <c r="F44" s="70"/>
      <c r="G44" s="73" t="str">
        <f>IFERROR(VLOOKUP(C44,'🧪 프렙 원가표'!$C$8:$D$18,2,0),IFERROR(VLOOKUP(C44,'🥬 식재료 DB'!$C$7:$H$121,6,0),""))</f>
        <v/>
      </c>
      <c r="H44" s="74" t="str">
        <f>IFERROR(IF(AND(C44&lt;&gt;"",ISNUMBER(E44),ISNUMBER(F44),F44&gt;0,ISNUMBER(G44)),E44/F44*G44,""),"")</f>
        <v/>
      </c>
      <c r="I44" s="63"/>
      <c r="J44" s="63"/>
    </row>
    <row r="45" spans="2:11" ht="16.5" customHeight="1">
      <c r="B45" s="71">
        <v>14</v>
      </c>
      <c r="C45" s="68"/>
      <c r="D45" s="72" t="s">
        <v>295</v>
      </c>
      <c r="E45" s="69"/>
      <c r="F45" s="70"/>
      <c r="G45" s="73" t="str">
        <f>IFERROR(VLOOKUP(C45,'🧪 프렙 원가표'!$C$8:$D$18,2,0),IFERROR(VLOOKUP(C45,'🥬 식재료 DB'!$C$7:$H$121,6,0),""))</f>
        <v/>
      </c>
      <c r="H45" s="74" t="str">
        <f>IFERROR(IF(AND(C45&lt;&gt;"",ISNUMBER(E45),ISNUMBER(F45),F45&gt;0,ISNUMBER(G45)),E45/F45*G45,""),"")</f>
        <v/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400</v>
      </c>
      <c r="D50" s="50"/>
      <c r="E50" s="52">
        <v>3000</v>
      </c>
      <c r="F50" s="53">
        <f>IFERROR(SUM(H52,H53,H54,H55,H56,H57,H58,H59,H60,H61,H62,H63,H65,H66,H67,H68,H69),0)</f>
        <v>182.22435897435898</v>
      </c>
      <c r="G50" s="54">
        <f>IFERROR(E50*'💰 고정비용 DB'!$D$22/'💰 고정비용 DB'!$D$25,0)</f>
        <v>1980.8911979402444</v>
      </c>
      <c r="H50" s="55">
        <f>IFERROR(G50-F50,"")</f>
        <v>1798.6668389658855</v>
      </c>
      <c r="I50" s="56">
        <f>IFERROR(H50/E50,"")</f>
        <v>0.59955561298862847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136</v>
      </c>
      <c r="D52" s="59" t="s">
        <v>292</v>
      </c>
      <c r="E52" s="60">
        <v>100</v>
      </c>
      <c r="F52" s="61">
        <v>1</v>
      </c>
      <c r="G52" s="25">
        <f>IFERROR(VLOOKUP(C52,'🥬 식재료 DB'!$C$7:$H$121,6,0),"")</f>
        <v>0.75</v>
      </c>
      <c r="H52" s="62">
        <f t="shared" ref="H52:H63" si="2">IFERROR(IF(AND(C52&lt;&gt;"",ISNUMBER(E52),ISNUMBER(F52),F52&gt;0,ISNUMBER(G52)),E52/F52*G52,""),"")</f>
        <v>75</v>
      </c>
      <c r="I52" s="63"/>
      <c r="J52" s="63"/>
    </row>
    <row r="53" spans="2:11" ht="16.5" customHeight="1">
      <c r="B53" s="58">
        <v>2</v>
      </c>
      <c r="C53" s="116" t="s">
        <v>217</v>
      </c>
      <c r="D53" s="59" t="s">
        <v>292</v>
      </c>
      <c r="E53" s="117">
        <v>30</v>
      </c>
      <c r="F53" s="118">
        <v>1</v>
      </c>
      <c r="G53" s="25">
        <f>IFERROR(VLOOKUP(C53,'🥬 식재료 DB'!$C$7:$H$121,6,0),"")</f>
        <v>1.65</v>
      </c>
      <c r="H53" s="62">
        <f t="shared" si="2"/>
        <v>49.5</v>
      </c>
      <c r="I53" s="119"/>
      <c r="J53" s="119"/>
    </row>
    <row r="54" spans="2:11" ht="16.5" customHeight="1">
      <c r="B54" s="58">
        <v>3</v>
      </c>
      <c r="C54" s="6" t="s">
        <v>222</v>
      </c>
      <c r="D54" s="59" t="s">
        <v>292</v>
      </c>
      <c r="E54" s="60">
        <v>10</v>
      </c>
      <c r="F54" s="61">
        <v>1</v>
      </c>
      <c r="G54" s="25">
        <f>IFERROR(VLOOKUP(C54,'🥬 식재료 DB'!$C$7:$H$121,6,0),"")</f>
        <v>3.2307692307692308</v>
      </c>
      <c r="H54" s="62">
        <f t="shared" si="2"/>
        <v>32.307692307692307</v>
      </c>
      <c r="I54" s="63"/>
      <c r="J54" s="63"/>
    </row>
    <row r="55" spans="2:11" ht="16.5" customHeight="1">
      <c r="B55" s="58">
        <v>4</v>
      </c>
      <c r="C55" s="116" t="s">
        <v>169</v>
      </c>
      <c r="D55" s="59" t="s">
        <v>292</v>
      </c>
      <c r="E55" s="117">
        <v>5</v>
      </c>
      <c r="F55" s="118">
        <v>1</v>
      </c>
      <c r="G55" s="25">
        <f>IFERROR(VLOOKUP(C55,'🥬 식재료 DB'!$C$7:$H$121,6,0),"")</f>
        <v>1.3333333333333333</v>
      </c>
      <c r="H55" s="62">
        <f t="shared" si="2"/>
        <v>6.6666666666666661</v>
      </c>
      <c r="I55" s="119"/>
      <c r="J55" s="119"/>
    </row>
    <row r="56" spans="2:11" ht="16.5" customHeight="1">
      <c r="B56" s="58">
        <v>5</v>
      </c>
      <c r="C56" s="6" t="s">
        <v>168</v>
      </c>
      <c r="D56" s="59" t="s">
        <v>292</v>
      </c>
      <c r="E56" s="60">
        <v>5</v>
      </c>
      <c r="F56" s="61">
        <v>1</v>
      </c>
      <c r="G56" s="25">
        <f>IFERROR(VLOOKUP(C56,'🥬 식재료 DB'!$C$7:$H$121,6,0),"")</f>
        <v>1</v>
      </c>
      <c r="H56" s="62">
        <f t="shared" si="2"/>
        <v>5</v>
      </c>
      <c r="I56" s="63"/>
      <c r="J56" s="63"/>
    </row>
    <row r="57" spans="2:11" ht="16.5" customHeight="1">
      <c r="B57" s="58">
        <v>6</v>
      </c>
      <c r="C57" s="116" t="s">
        <v>401</v>
      </c>
      <c r="D57" s="59" t="s">
        <v>292</v>
      </c>
      <c r="E57" s="117">
        <v>3</v>
      </c>
      <c r="F57" s="118">
        <v>1</v>
      </c>
      <c r="G57" s="25" t="str">
        <f>IFERROR(VLOOKUP(C57,'🥬 식재료 DB'!$C$7:$H$121,6,0),"")</f>
        <v/>
      </c>
      <c r="H57" s="62" t="str">
        <f t="shared" si="2"/>
        <v/>
      </c>
      <c r="I57" s="119"/>
      <c r="J57" s="119"/>
    </row>
    <row r="58" spans="2:11" ht="16.5" customHeight="1">
      <c r="B58" s="58">
        <v>7</v>
      </c>
      <c r="C58" s="6" t="s">
        <v>191</v>
      </c>
      <c r="D58" s="59" t="s">
        <v>292</v>
      </c>
      <c r="E58" s="60">
        <v>5</v>
      </c>
      <c r="F58" s="61">
        <v>1</v>
      </c>
      <c r="G58" s="25">
        <f>IFERROR(VLOOKUP(C58,'🥬 식재료 DB'!$C$7:$H$121,6,0),"")</f>
        <v>2.75</v>
      </c>
      <c r="H58" s="62">
        <f t="shared" si="2"/>
        <v>13.75</v>
      </c>
      <c r="I58" s="63"/>
      <c r="J58" s="63"/>
    </row>
    <row r="59" spans="2:11" ht="16.5" customHeight="1">
      <c r="B59" s="58">
        <v>8</v>
      </c>
      <c r="C59" s="68"/>
      <c r="D59" s="59" t="s">
        <v>292</v>
      </c>
      <c r="E59" s="69"/>
      <c r="F59" s="70"/>
      <c r="G59" s="25" t="str">
        <f>IFERROR(VLOOKUP(C59,'🥬 식재료 DB'!$C$7:$H$121,6,0),"")</f>
        <v/>
      </c>
      <c r="H59" s="62" t="str">
        <f t="shared" si="2"/>
        <v/>
      </c>
      <c r="I59" s="119"/>
      <c r="J59" s="119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119"/>
      <c r="J61" s="119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119"/>
      <c r="J63" s="119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8"/>
      <c r="D65" s="72" t="s">
        <v>295</v>
      </c>
      <c r="E65" s="69"/>
      <c r="F65" s="70"/>
      <c r="G65" s="73" t="str">
        <f>IFERROR(VLOOKUP(C65,'🧪 프렙 원가표'!$C$8:$D$18,2,0),IFERROR(VLOOKUP(C65,'🥬 식재료 DB'!$C$7:$H$121,6,0),""))</f>
        <v/>
      </c>
      <c r="H65" s="74" t="str">
        <f>IFERROR(IF(AND(C65&lt;&gt;"",ISNUMBER(E65),ISNUMBER(F65),F65&gt;0,ISNUMBER(G65)),E65/F65*G65,""),"")</f>
        <v/>
      </c>
      <c r="I65" s="63"/>
      <c r="J65" s="63"/>
    </row>
    <row r="66" spans="2:11" ht="16.5" customHeight="1">
      <c r="B66" s="71">
        <v>14</v>
      </c>
      <c r="C66" s="68"/>
      <c r="D66" s="72" t="s">
        <v>295</v>
      </c>
      <c r="E66" s="69"/>
      <c r="F66" s="70"/>
      <c r="G66" s="73" t="str">
        <f>IFERROR(VLOOKUP(C66,'🧪 프렙 원가표'!$C$8:$D$18,2,0),IFERROR(VLOOKUP(C66,'🥬 식재료 DB'!$C$7:$H$121,6,0),""))</f>
        <v/>
      </c>
      <c r="H66" s="74" t="str">
        <f>IFERROR(IF(AND(C66&lt;&gt;"",ISNUMBER(E66),ISNUMBER(F66),F66&gt;0,ISNUMBER(G66)),E66/F66*G66,""),"")</f>
        <v/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402</v>
      </c>
      <c r="D71" s="50"/>
      <c r="E71" s="52">
        <v>3500</v>
      </c>
      <c r="F71" s="53">
        <f>IFERROR(SUM(H73,H74,H75,H76,H77,H78,H79,H80,H81,H82,H83,H84,H86,H87,H88,H89,H90),0)</f>
        <v>439.72435897435901</v>
      </c>
      <c r="G71" s="54">
        <f>IFERROR(E71*'💰 고정비용 DB'!$D$22/'💰 고정비용 DB'!$D$25,0)</f>
        <v>2311.0397309302853</v>
      </c>
      <c r="H71" s="55">
        <f>IFERROR(G71-F71,"")</f>
        <v>1871.3153719559264</v>
      </c>
      <c r="I71" s="56">
        <f>IFERROR(H71/E71,"")</f>
        <v>0.53466153484455037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136</v>
      </c>
      <c r="D73" s="59" t="s">
        <v>292</v>
      </c>
      <c r="E73" s="60">
        <v>100</v>
      </c>
      <c r="F73" s="61">
        <v>1</v>
      </c>
      <c r="G73" s="25">
        <f>IFERROR(VLOOKUP(C73,'🥬 식재료 DB'!$C$7:$H$121,6,0),"")</f>
        <v>0.75</v>
      </c>
      <c r="H73" s="62">
        <f t="shared" ref="H73:H84" si="3">IFERROR(IF(AND(C73&lt;&gt;"",ISNUMBER(E73),ISNUMBER(F73),F73&gt;0,ISNUMBER(G73)),E73/F73*G73,""),"")</f>
        <v>75</v>
      </c>
      <c r="I73" s="63"/>
      <c r="J73" s="63"/>
    </row>
    <row r="74" spans="2:11" ht="16.5" customHeight="1">
      <c r="B74" s="58">
        <v>2</v>
      </c>
      <c r="C74" s="116" t="s">
        <v>217</v>
      </c>
      <c r="D74" s="59" t="s">
        <v>292</v>
      </c>
      <c r="E74" s="117">
        <v>30</v>
      </c>
      <c r="F74" s="118">
        <v>1</v>
      </c>
      <c r="G74" s="25">
        <f>IFERROR(VLOOKUP(C74,'🥬 식재료 DB'!$C$7:$H$121,6,0),"")</f>
        <v>1.65</v>
      </c>
      <c r="H74" s="62">
        <f t="shared" si="3"/>
        <v>49.5</v>
      </c>
      <c r="I74" s="119"/>
      <c r="J74" s="119"/>
    </row>
    <row r="75" spans="2:11" ht="16.5" customHeight="1">
      <c r="B75" s="58">
        <v>3</v>
      </c>
      <c r="C75" s="6" t="s">
        <v>222</v>
      </c>
      <c r="D75" s="59" t="s">
        <v>292</v>
      </c>
      <c r="E75" s="60">
        <v>10</v>
      </c>
      <c r="F75" s="61">
        <v>1</v>
      </c>
      <c r="G75" s="25">
        <f>IFERROR(VLOOKUP(C75,'🥬 식재료 DB'!$C$7:$H$121,6,0),"")</f>
        <v>3.2307692307692308</v>
      </c>
      <c r="H75" s="62">
        <f t="shared" si="3"/>
        <v>32.307692307692307</v>
      </c>
      <c r="I75" s="63"/>
      <c r="J75" s="63"/>
    </row>
    <row r="76" spans="2:11" ht="16.5" customHeight="1">
      <c r="B76" s="58">
        <v>4</v>
      </c>
      <c r="C76" s="120" t="s">
        <v>182</v>
      </c>
      <c r="D76" s="59" t="s">
        <v>292</v>
      </c>
      <c r="E76" s="117">
        <v>10</v>
      </c>
      <c r="F76" s="118">
        <v>1</v>
      </c>
      <c r="G76" s="25">
        <f>IFERROR(VLOOKUP(C76,'🥬 식재료 DB'!$C$7:$H$121,6,0),"")</f>
        <v>18.125</v>
      </c>
      <c r="H76" s="62">
        <f t="shared" si="3"/>
        <v>181.25</v>
      </c>
      <c r="I76" s="119"/>
      <c r="J76" s="119"/>
    </row>
    <row r="77" spans="2:11" ht="16.5" customHeight="1">
      <c r="B77" s="58">
        <v>5</v>
      </c>
      <c r="C77" s="6" t="s">
        <v>144</v>
      </c>
      <c r="D77" s="59" t="s">
        <v>292</v>
      </c>
      <c r="E77" s="60">
        <v>10</v>
      </c>
      <c r="F77" s="61">
        <v>1</v>
      </c>
      <c r="G77" s="25">
        <f>IFERROR(VLOOKUP(C77,'🥬 식재료 DB'!$C$7:$H$121,6,0),"")</f>
        <v>9</v>
      </c>
      <c r="H77" s="62">
        <f t="shared" si="3"/>
        <v>90</v>
      </c>
      <c r="I77" s="63"/>
      <c r="J77" s="63"/>
    </row>
    <row r="78" spans="2:11" ht="16.5" customHeight="1">
      <c r="B78" s="58">
        <v>6</v>
      </c>
      <c r="C78" s="116" t="s">
        <v>169</v>
      </c>
      <c r="D78" s="59" t="s">
        <v>292</v>
      </c>
      <c r="E78" s="117">
        <v>5</v>
      </c>
      <c r="F78" s="118">
        <v>1</v>
      </c>
      <c r="G78" s="25">
        <f>IFERROR(VLOOKUP(C78,'🥬 식재료 DB'!$C$7:$H$121,6,0),"")</f>
        <v>1.3333333333333333</v>
      </c>
      <c r="H78" s="62">
        <f t="shared" si="3"/>
        <v>6.6666666666666661</v>
      </c>
      <c r="I78" s="119"/>
      <c r="J78" s="119"/>
    </row>
    <row r="79" spans="2:11" ht="16.5" customHeight="1">
      <c r="B79" s="58">
        <v>7</v>
      </c>
      <c r="C79" s="6" t="s">
        <v>168</v>
      </c>
      <c r="D79" s="59" t="s">
        <v>292</v>
      </c>
      <c r="E79" s="60">
        <v>5</v>
      </c>
      <c r="F79" s="61">
        <v>1</v>
      </c>
      <c r="G79" s="25">
        <f>IFERROR(VLOOKUP(C79,'🥬 식재료 DB'!$C$7:$H$121,6,0),"")</f>
        <v>1</v>
      </c>
      <c r="H79" s="62">
        <f t="shared" si="3"/>
        <v>5</v>
      </c>
      <c r="I79" s="63"/>
      <c r="J79" s="63"/>
    </row>
    <row r="80" spans="2:11" ht="16.5" customHeight="1">
      <c r="B80" s="58">
        <v>8</v>
      </c>
      <c r="C80" s="116" t="s">
        <v>401</v>
      </c>
      <c r="D80" s="59" t="s">
        <v>292</v>
      </c>
      <c r="E80" s="117">
        <v>3</v>
      </c>
      <c r="F80" s="118">
        <v>1</v>
      </c>
      <c r="G80" s="25" t="str">
        <f>IFERROR(VLOOKUP(C80,'🥬 식재료 DB'!$C$7:$H$121,6,0),"")</f>
        <v/>
      </c>
      <c r="H80" s="62" t="str">
        <f t="shared" si="3"/>
        <v/>
      </c>
      <c r="I80" s="119"/>
      <c r="J80" s="119"/>
    </row>
    <row r="81" spans="2:11" ht="16.5" customHeight="1">
      <c r="B81" s="58">
        <v>9</v>
      </c>
      <c r="C81" s="68"/>
      <c r="D81" s="59" t="s">
        <v>292</v>
      </c>
      <c r="E81" s="69"/>
      <c r="F81" s="70"/>
      <c r="G81" s="25" t="str">
        <f>IFERROR(VLOOKUP(C81,'🥬 식재료 DB'!$C$7:$H$121,6,0),"")</f>
        <v/>
      </c>
      <c r="H81" s="62" t="str">
        <f t="shared" si="3"/>
        <v/>
      </c>
      <c r="I81" s="63"/>
      <c r="J81" s="63"/>
    </row>
    <row r="82" spans="2:11" ht="16.5" customHeight="1">
      <c r="B82" s="58">
        <v>10</v>
      </c>
      <c r="C82" s="68"/>
      <c r="D82" s="59" t="s">
        <v>292</v>
      </c>
      <c r="E82" s="69"/>
      <c r="F82" s="70"/>
      <c r="G82" s="25" t="str">
        <f>IFERROR(VLOOKUP(C82,'🥬 식재료 DB'!$C$7:$H$121,6,0),"")</f>
        <v/>
      </c>
      <c r="H82" s="62" t="str">
        <f t="shared" si="3"/>
        <v/>
      </c>
      <c r="I82" s="119"/>
      <c r="J82" s="119"/>
    </row>
    <row r="83" spans="2:11" ht="16.5" customHeight="1">
      <c r="B83" s="58">
        <v>11</v>
      </c>
      <c r="C83" s="68"/>
      <c r="D83" s="59" t="s">
        <v>292</v>
      </c>
      <c r="E83" s="69"/>
      <c r="F83" s="70"/>
      <c r="G83" s="25" t="str">
        <f>IFERROR(VLOOKUP(C83,'🥬 식재료 DB'!$C$7:$H$121,6,0),"")</f>
        <v/>
      </c>
      <c r="H83" s="62" t="str">
        <f t="shared" si="3"/>
        <v/>
      </c>
      <c r="I83" s="63"/>
      <c r="J83" s="63"/>
    </row>
    <row r="84" spans="2:11" ht="16.5" customHeight="1">
      <c r="B84" s="58">
        <v>12</v>
      </c>
      <c r="C84" s="68"/>
      <c r="D84" s="59" t="s">
        <v>292</v>
      </c>
      <c r="E84" s="69"/>
      <c r="F84" s="70"/>
      <c r="G84" s="25" t="str">
        <f>IFERROR(VLOOKUP(C84,'🥬 식재료 DB'!$C$7:$H$121,6,0),"")</f>
        <v/>
      </c>
      <c r="H84" s="62" t="str">
        <f t="shared" si="3"/>
        <v/>
      </c>
      <c r="I84" s="119"/>
      <c r="J84" s="119"/>
    </row>
    <row r="85" spans="2:11" ht="12.75" customHeight="1">
      <c r="B85" s="203" t="s">
        <v>293</v>
      </c>
      <c r="C85" s="203"/>
      <c r="D85" s="203"/>
      <c r="E85" s="203"/>
      <c r="F85" s="203"/>
      <c r="G85" s="203"/>
      <c r="H85" s="203"/>
      <c r="I85" s="203"/>
      <c r="J85" s="203"/>
      <c r="K85" s="203"/>
    </row>
    <row r="86" spans="2:11" ht="16.5" customHeight="1">
      <c r="B86" s="71">
        <v>13</v>
      </c>
      <c r="C86" s="68"/>
      <c r="D86" s="72" t="s">
        <v>295</v>
      </c>
      <c r="E86" s="69"/>
      <c r="F86" s="70"/>
      <c r="G86" s="73" t="str">
        <f>IFERROR(VLOOKUP(C86,'🧪 프렙 원가표'!$C$8:$D$18,2,0),IFERROR(VLOOKUP(C86,'🥬 식재료 DB'!$C$7:$H$121,6,0),""))</f>
        <v/>
      </c>
      <c r="H86" s="74" t="str">
        <f>IFERROR(IF(AND(C86&lt;&gt;"",ISNUMBER(E86),ISNUMBER(F86),F86&gt;0,ISNUMBER(G86)),E86/F86*G86,""),"")</f>
        <v/>
      </c>
      <c r="I86" s="63"/>
      <c r="J86" s="63"/>
    </row>
    <row r="87" spans="2:11" ht="16.5" customHeight="1">
      <c r="B87" s="71">
        <v>14</v>
      </c>
      <c r="C87" s="68"/>
      <c r="D87" s="72" t="s">
        <v>295</v>
      </c>
      <c r="E87" s="69"/>
      <c r="F87" s="70"/>
      <c r="G87" s="73" t="str">
        <f>IFERROR(VLOOKUP(C87,'🧪 프렙 원가표'!$C$8:$D$18,2,0),IFERROR(VLOOKUP(C87,'🥬 식재료 DB'!$C$7:$H$121,6,0),""))</f>
        <v/>
      </c>
      <c r="H87" s="74" t="str">
        <f>IFERROR(IF(AND(C87&lt;&gt;"",ISNUMBER(E87),ISNUMBER(F87),F87&gt;0,ISNUMBER(G87)),E87/F87*G87,""),"")</f>
        <v/>
      </c>
      <c r="I87" s="77"/>
      <c r="J87" s="77"/>
    </row>
    <row r="88" spans="2:11" ht="16.5" customHeight="1">
      <c r="B88" s="71">
        <v>15</v>
      </c>
      <c r="C88" s="68"/>
      <c r="D88" s="72" t="s">
        <v>295</v>
      </c>
      <c r="E88" s="69"/>
      <c r="F88" s="70"/>
      <c r="G88" s="73" t="str">
        <f>IFERROR(VLOOKUP(C88,'🧪 프렙 원가표'!$C$8:$D$18,2,0),IFERROR(VLOOKUP(C88,'🥬 식재료 DB'!$C$7:$H$121,6,0),""))</f>
        <v/>
      </c>
      <c r="H88" s="74" t="str">
        <f>IFERROR(IF(AND(C88&lt;&gt;"",ISNUMBER(E88),ISNUMBER(F88),F88&gt;0,ISNUMBER(G88)),E88/F88*G88,""),"")</f>
        <v/>
      </c>
      <c r="I88" s="63"/>
      <c r="J88" s="63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77"/>
      <c r="J89" s="77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63"/>
      <c r="J90" s="63"/>
    </row>
    <row r="91" spans="2:11" ht="3.75" customHeight="1">
      <c r="B91" s="78"/>
      <c r="C91" s="78"/>
      <c r="D91" s="78"/>
      <c r="E91" s="78"/>
      <c r="F91" s="78"/>
      <c r="G91" s="78"/>
      <c r="H91" s="78"/>
      <c r="I91" s="78"/>
      <c r="J91" s="78"/>
      <c r="K91" s="78"/>
    </row>
    <row r="92" spans="2:11" ht="27" customHeight="1">
      <c r="B92" s="50"/>
      <c r="C92" s="51" t="s">
        <v>403</v>
      </c>
      <c r="D92" s="50"/>
      <c r="E92" s="52">
        <v>3500</v>
      </c>
      <c r="F92" s="53">
        <f>IFERROR(SUM(H94,H95,H96,H97,H98,H99,H100,H101,H102,H103,H104,H105,H107,H108,H109,H110,H111),0)</f>
        <v>530.97435897435889</v>
      </c>
      <c r="G92" s="54">
        <f>IFERROR(E92*'💰 고정비용 DB'!$D$22/'💰 고정비용 DB'!$D$25,0)</f>
        <v>2311.0397309302853</v>
      </c>
      <c r="H92" s="55">
        <f>IFERROR(G92-F92,"")</f>
        <v>1780.0653719559264</v>
      </c>
      <c r="I92" s="56">
        <f>IFERROR(H92/E92,"")</f>
        <v>0.50859010627312184</v>
      </c>
      <c r="J92" s="57" t="str">
        <f>IF(I92="","⬜ 미입력",IF(I92&lt;=0.2,"✅ 양호",IF(I92&lt;=0.32,"🟡 주의","🔴 과다")))</f>
        <v>🔴 과다</v>
      </c>
      <c r="K92" s="50"/>
    </row>
    <row r="93" spans="2:11" ht="12.75" customHeight="1">
      <c r="B93" s="204" t="s">
        <v>291</v>
      </c>
      <c r="C93" s="204"/>
      <c r="D93" s="204"/>
      <c r="E93" s="204"/>
      <c r="F93" s="204"/>
      <c r="G93" s="204"/>
      <c r="H93" s="204"/>
      <c r="I93" s="204"/>
      <c r="J93" s="204"/>
      <c r="K93" s="204"/>
    </row>
    <row r="94" spans="2:11" ht="16.5" customHeight="1">
      <c r="B94" s="58">
        <v>1</v>
      </c>
      <c r="C94" s="6" t="s">
        <v>136</v>
      </c>
      <c r="D94" s="59" t="s">
        <v>292</v>
      </c>
      <c r="E94" s="60">
        <v>100</v>
      </c>
      <c r="F94" s="61">
        <v>1</v>
      </c>
      <c r="G94" s="25">
        <f>IFERROR(VLOOKUP(C94,'🥬 식재료 DB'!$C$7:$H$121,6,0),"")</f>
        <v>0.75</v>
      </c>
      <c r="H94" s="62">
        <f t="shared" ref="H94:H105" si="4">IFERROR(IF(AND(C94&lt;&gt;"",ISNUMBER(E94),ISNUMBER(F94),F94&gt;0,ISNUMBER(G94)),E94/F94*G94,""),"")</f>
        <v>75</v>
      </c>
      <c r="I94" s="63"/>
      <c r="J94" s="63"/>
    </row>
    <row r="95" spans="2:11" ht="16.5" customHeight="1">
      <c r="B95" s="58">
        <v>2</v>
      </c>
      <c r="C95" s="116" t="s">
        <v>217</v>
      </c>
      <c r="D95" s="59" t="s">
        <v>292</v>
      </c>
      <c r="E95" s="117">
        <v>30</v>
      </c>
      <c r="F95" s="118">
        <v>1</v>
      </c>
      <c r="G95" s="25">
        <f>IFERROR(VLOOKUP(C95,'🥬 식재료 DB'!$C$7:$H$121,6,0),"")</f>
        <v>1.65</v>
      </c>
      <c r="H95" s="62">
        <f t="shared" si="4"/>
        <v>49.5</v>
      </c>
      <c r="I95" s="119"/>
      <c r="J95" s="119"/>
    </row>
    <row r="96" spans="2:11" ht="16.5" customHeight="1">
      <c r="B96" s="58">
        <v>3</v>
      </c>
      <c r="C96" s="6" t="s">
        <v>169</v>
      </c>
      <c r="D96" s="59" t="s">
        <v>292</v>
      </c>
      <c r="E96" s="60">
        <v>5</v>
      </c>
      <c r="F96" s="61">
        <v>1</v>
      </c>
      <c r="G96" s="25">
        <f>IFERROR(VLOOKUP(C96,'🥬 식재료 DB'!$C$7:$H$121,6,0),"")</f>
        <v>1.3333333333333333</v>
      </c>
      <c r="H96" s="62">
        <f t="shared" si="4"/>
        <v>6.6666666666666661</v>
      </c>
      <c r="I96" s="63"/>
      <c r="J96" s="63"/>
    </row>
    <row r="97" spans="2:11" ht="16.5" customHeight="1">
      <c r="B97" s="58">
        <v>4</v>
      </c>
      <c r="C97" s="116" t="s">
        <v>168</v>
      </c>
      <c r="D97" s="59" t="s">
        <v>292</v>
      </c>
      <c r="E97" s="117">
        <v>5</v>
      </c>
      <c r="F97" s="118">
        <v>1</v>
      </c>
      <c r="G97" s="25">
        <f>IFERROR(VLOOKUP(C97,'🥬 식재료 DB'!$C$7:$H$121,6,0),"")</f>
        <v>1</v>
      </c>
      <c r="H97" s="62">
        <f t="shared" si="4"/>
        <v>5</v>
      </c>
      <c r="I97" s="119"/>
      <c r="J97" s="119"/>
    </row>
    <row r="98" spans="2:11" ht="16.5" customHeight="1">
      <c r="B98" s="58">
        <v>5</v>
      </c>
      <c r="C98" s="6" t="s">
        <v>222</v>
      </c>
      <c r="D98" s="59" t="s">
        <v>292</v>
      </c>
      <c r="E98" s="60">
        <v>10</v>
      </c>
      <c r="F98" s="61">
        <v>1</v>
      </c>
      <c r="G98" s="25">
        <f>IFERROR(VLOOKUP(C98,'🥬 식재료 DB'!$C$7:$H$121,6,0),"")</f>
        <v>3.2307692307692308</v>
      </c>
      <c r="H98" s="62">
        <f t="shared" si="4"/>
        <v>32.307692307692307</v>
      </c>
      <c r="I98" s="63"/>
      <c r="J98" s="63"/>
    </row>
    <row r="99" spans="2:11" ht="16.5" customHeight="1">
      <c r="B99" s="58">
        <v>6</v>
      </c>
      <c r="C99" s="120" t="s">
        <v>182</v>
      </c>
      <c r="D99" s="59" t="s">
        <v>292</v>
      </c>
      <c r="E99" s="117">
        <v>20</v>
      </c>
      <c r="F99" s="118">
        <v>1</v>
      </c>
      <c r="G99" s="25">
        <f>IFERROR(VLOOKUP(C99,'🥬 식재료 DB'!$C$7:$H$121,6,0),"")</f>
        <v>18.125</v>
      </c>
      <c r="H99" s="62">
        <f t="shared" si="4"/>
        <v>362.5</v>
      </c>
      <c r="I99" s="119"/>
      <c r="J99" s="119"/>
    </row>
    <row r="100" spans="2:11" ht="16.5" customHeight="1">
      <c r="B100" s="58">
        <v>7</v>
      </c>
      <c r="C100" s="68"/>
      <c r="D100" s="59" t="s">
        <v>292</v>
      </c>
      <c r="E100" s="69"/>
      <c r="F100" s="70"/>
      <c r="G100" s="25" t="str">
        <f>IFERROR(VLOOKUP(C100,'🥬 식재료 DB'!$C$7:$H$121,6,0),"")</f>
        <v/>
      </c>
      <c r="H100" s="62" t="str">
        <f t="shared" si="4"/>
        <v/>
      </c>
      <c r="I100" s="63"/>
      <c r="J100" s="63"/>
    </row>
    <row r="101" spans="2:11" ht="16.5" customHeight="1">
      <c r="B101" s="58">
        <v>8</v>
      </c>
      <c r="C101" s="68"/>
      <c r="D101" s="59" t="s">
        <v>292</v>
      </c>
      <c r="E101" s="69"/>
      <c r="F101" s="70"/>
      <c r="G101" s="25" t="str">
        <f>IFERROR(VLOOKUP(C101,'🥬 식재료 DB'!$C$7:$H$121,6,0),"")</f>
        <v/>
      </c>
      <c r="H101" s="62" t="str">
        <f t="shared" si="4"/>
        <v/>
      </c>
      <c r="I101" s="119"/>
      <c r="J101" s="119"/>
    </row>
    <row r="102" spans="2:11" ht="16.5" customHeight="1">
      <c r="B102" s="58">
        <v>9</v>
      </c>
      <c r="C102" s="68"/>
      <c r="D102" s="59" t="s">
        <v>292</v>
      </c>
      <c r="E102" s="69"/>
      <c r="F102" s="70"/>
      <c r="G102" s="25" t="str">
        <f>IFERROR(VLOOKUP(C102,'🥬 식재료 DB'!$C$7:$H$121,6,0),"")</f>
        <v/>
      </c>
      <c r="H102" s="62" t="str">
        <f t="shared" si="4"/>
        <v/>
      </c>
      <c r="I102" s="63"/>
      <c r="J102" s="63"/>
    </row>
    <row r="103" spans="2:11" ht="16.5" customHeight="1">
      <c r="B103" s="58">
        <v>10</v>
      </c>
      <c r="C103" s="68"/>
      <c r="D103" s="59" t="s">
        <v>292</v>
      </c>
      <c r="E103" s="69"/>
      <c r="F103" s="70"/>
      <c r="G103" s="25" t="str">
        <f>IFERROR(VLOOKUP(C103,'🥬 식재료 DB'!$C$7:$H$121,6,0),"")</f>
        <v/>
      </c>
      <c r="H103" s="62" t="str">
        <f t="shared" si="4"/>
        <v/>
      </c>
      <c r="I103" s="119"/>
      <c r="J103" s="119"/>
    </row>
    <row r="104" spans="2:11" ht="16.5" customHeight="1">
      <c r="B104" s="58">
        <v>11</v>
      </c>
      <c r="C104" s="68"/>
      <c r="D104" s="59" t="s">
        <v>292</v>
      </c>
      <c r="E104" s="69"/>
      <c r="F104" s="70"/>
      <c r="G104" s="25" t="str">
        <f>IFERROR(VLOOKUP(C104,'🥬 식재료 DB'!$C$7:$H$121,6,0),"")</f>
        <v/>
      </c>
      <c r="H104" s="62" t="str">
        <f t="shared" si="4"/>
        <v/>
      </c>
      <c r="I104" s="63"/>
      <c r="J104" s="63"/>
    </row>
    <row r="105" spans="2:11" ht="16.5" customHeight="1">
      <c r="B105" s="58">
        <v>12</v>
      </c>
      <c r="C105" s="68"/>
      <c r="D105" s="59" t="s">
        <v>292</v>
      </c>
      <c r="E105" s="69"/>
      <c r="F105" s="70"/>
      <c r="G105" s="25" t="str">
        <f>IFERROR(VLOOKUP(C105,'🥬 식재료 DB'!$C$7:$H$121,6,0),"")</f>
        <v/>
      </c>
      <c r="H105" s="62" t="str">
        <f t="shared" si="4"/>
        <v/>
      </c>
      <c r="I105" s="119"/>
      <c r="J105" s="119"/>
    </row>
    <row r="106" spans="2:11" ht="12.75" customHeight="1">
      <c r="B106" s="203" t="s">
        <v>293</v>
      </c>
      <c r="C106" s="203"/>
      <c r="D106" s="203"/>
      <c r="E106" s="203"/>
      <c r="F106" s="203"/>
      <c r="G106" s="203"/>
      <c r="H106" s="203"/>
      <c r="I106" s="203"/>
      <c r="J106" s="203"/>
      <c r="K106" s="203"/>
    </row>
    <row r="107" spans="2:11" ht="16.5" customHeight="1">
      <c r="B107" s="71">
        <v>13</v>
      </c>
      <c r="C107" s="68"/>
      <c r="D107" s="72" t="s">
        <v>295</v>
      </c>
      <c r="E107" s="69"/>
      <c r="F107" s="70"/>
      <c r="G107" s="73" t="str">
        <f>IFERROR(VLOOKUP(C107,'🧪 프렙 원가표'!$C$8:$D$18,2,0),IFERROR(VLOOKUP(C107,'🥬 식재료 DB'!$C$7:$H$121,6,0),""))</f>
        <v/>
      </c>
      <c r="H107" s="74" t="str">
        <f>IFERROR(IF(AND(C107&lt;&gt;"",ISNUMBER(E107),ISNUMBER(F107),F107&gt;0,ISNUMBER(G107)),E107/F107*G107,""),"")</f>
        <v/>
      </c>
      <c r="I107" s="63"/>
      <c r="J107" s="63"/>
    </row>
    <row r="108" spans="2:11" ht="16.5" customHeight="1">
      <c r="B108" s="71">
        <v>14</v>
      </c>
      <c r="C108" s="68"/>
      <c r="D108" s="72" t="s">
        <v>295</v>
      </c>
      <c r="E108" s="69"/>
      <c r="F108" s="70"/>
      <c r="G108" s="73" t="str">
        <f>IFERROR(VLOOKUP(C108,'🧪 프렙 원가표'!$C$8:$D$18,2,0),IFERROR(VLOOKUP(C108,'🥬 식재료 DB'!$C$7:$H$121,6,0),""))</f>
        <v/>
      </c>
      <c r="H108" s="74" t="str">
        <f>IFERROR(IF(AND(C108&lt;&gt;"",ISNUMBER(E108),ISNUMBER(F108),F108&gt;0,ISNUMBER(G108)),E108/F108*G108,""),"")</f>
        <v/>
      </c>
      <c r="I108" s="77"/>
      <c r="J108" s="77"/>
    </row>
    <row r="109" spans="2:11" ht="16.5" customHeight="1">
      <c r="B109" s="71">
        <v>15</v>
      </c>
      <c r="C109" s="68"/>
      <c r="D109" s="72" t="s">
        <v>295</v>
      </c>
      <c r="E109" s="69"/>
      <c r="F109" s="70"/>
      <c r="G109" s="73" t="str">
        <f>IFERROR(VLOOKUP(C109,'🧪 프렙 원가표'!$C$8:$D$18,2,0),IFERROR(VLOOKUP(C109,'🥬 식재료 DB'!$C$7:$H$121,6,0),""))</f>
        <v/>
      </c>
      <c r="H109" s="74" t="str">
        <f>IFERROR(IF(AND(C109&lt;&gt;"",ISNUMBER(E109),ISNUMBER(F109),F109&gt;0,ISNUMBER(G109)),E109/F109*G109,""),"")</f>
        <v/>
      </c>
      <c r="I109" s="63"/>
      <c r="J109" s="63"/>
    </row>
    <row r="110" spans="2:11" ht="16.5" customHeight="1">
      <c r="B110" s="71">
        <v>16</v>
      </c>
      <c r="C110" s="68"/>
      <c r="D110" s="72" t="s">
        <v>295</v>
      </c>
      <c r="E110" s="69"/>
      <c r="F110" s="70"/>
      <c r="G110" s="73" t="str">
        <f>IFERROR(VLOOKUP(C110,'🧪 프렙 원가표'!$C$8:$D$18,2,0),IFERROR(VLOOKUP(C110,'🥬 식재료 DB'!$C$7:$H$121,6,0),""))</f>
        <v/>
      </c>
      <c r="H110" s="74" t="str">
        <f>IFERROR(IF(AND(C110&lt;&gt;"",ISNUMBER(E110),ISNUMBER(F110),F110&gt;0,ISNUMBER(G110)),E110/F110*G110,""),"")</f>
        <v/>
      </c>
      <c r="I110" s="77"/>
      <c r="J110" s="77"/>
    </row>
    <row r="111" spans="2:11" ht="16.5" customHeight="1">
      <c r="B111" s="71">
        <v>17</v>
      </c>
      <c r="C111" s="68"/>
      <c r="D111" s="72" t="s">
        <v>295</v>
      </c>
      <c r="E111" s="69"/>
      <c r="F111" s="70"/>
      <c r="G111" s="73" t="str">
        <f>IFERROR(VLOOKUP(C111,'🧪 프렙 원가표'!$C$8:$D$18,2,0),IFERROR(VLOOKUP(C111,'🥬 식재료 DB'!$C$7:$H$121,6,0),""))</f>
        <v/>
      </c>
      <c r="H111" s="74" t="str">
        <f>IFERROR(IF(AND(C111&lt;&gt;"",ISNUMBER(E111),ISNUMBER(F111),F111&gt;0,ISNUMBER(G111)),E111/F111*G111,""),"")</f>
        <v/>
      </c>
      <c r="I111" s="63"/>
      <c r="J111" s="63"/>
    </row>
    <row r="112" spans="2:11" ht="3.75" customHeight="1">
      <c r="B112" s="78"/>
      <c r="C112" s="78"/>
      <c r="D112" s="78"/>
      <c r="E112" s="78"/>
      <c r="F112" s="78"/>
      <c r="G112" s="78"/>
      <c r="H112" s="78"/>
      <c r="I112" s="78"/>
      <c r="J112" s="78"/>
      <c r="K112" s="78"/>
    </row>
    <row r="113" spans="2:11" ht="27" customHeight="1">
      <c r="B113" s="50"/>
      <c r="C113" s="51" t="s">
        <v>404</v>
      </c>
      <c r="D113" s="50"/>
      <c r="E113" s="52">
        <v>5500</v>
      </c>
      <c r="F113" s="53">
        <f>IFERROR(SUM(H115,H116,H117,H118,H119,H120,H121,H122,H123,H124,H125,H126,H128,H129,H130,H131,H132),0)</f>
        <v>870.91666666666663</v>
      </c>
      <c r="G113" s="54">
        <f>IFERROR(E113*'💰 고정비용 DB'!$D$22/'💰 고정비용 DB'!$D$25,0)</f>
        <v>3631.6338628904482</v>
      </c>
      <c r="H113" s="55">
        <f>IFERROR(G113-F113,"")</f>
        <v>2760.7171962237817</v>
      </c>
      <c r="I113" s="56">
        <f>IFERROR(H113/E113,"")</f>
        <v>0.50194858113159668</v>
      </c>
      <c r="J113" s="57" t="str">
        <f>IF(I113="","⬜ 미입력",IF(I113&lt;=0.2,"✅ 양호",IF(I113&lt;=0.32,"🟡 주의","🔴 과다")))</f>
        <v>🔴 과다</v>
      </c>
      <c r="K113" s="50"/>
    </row>
    <row r="114" spans="2:11" ht="12.75" customHeight="1">
      <c r="B114" s="204" t="s">
        <v>291</v>
      </c>
      <c r="C114" s="204"/>
      <c r="D114" s="204"/>
      <c r="E114" s="204"/>
      <c r="F114" s="204"/>
      <c r="G114" s="204"/>
      <c r="H114" s="204"/>
      <c r="I114" s="204"/>
      <c r="J114" s="204"/>
      <c r="K114" s="204"/>
    </row>
    <row r="115" spans="2:11" ht="16.5" customHeight="1">
      <c r="B115" s="58">
        <v>1</v>
      </c>
      <c r="C115" s="6" t="s">
        <v>141</v>
      </c>
      <c r="D115" s="59" t="s">
        <v>292</v>
      </c>
      <c r="E115" s="60">
        <v>20</v>
      </c>
      <c r="F115" s="61">
        <v>1</v>
      </c>
      <c r="G115" s="25">
        <f>IFERROR(VLOOKUP(C115,'🥬 식재료 DB'!$C$7:$H$121,6,0),"")</f>
        <v>1.75</v>
      </c>
      <c r="H115" s="62">
        <f t="shared" ref="H115:H126" si="5">IFERROR(IF(AND(C115&lt;&gt;"",ISNUMBER(E115),ISNUMBER(F115),F115&gt;0,ISNUMBER(G115)),E115/F115*G115,""),"")</f>
        <v>35</v>
      </c>
      <c r="I115" s="63"/>
      <c r="J115" s="63"/>
    </row>
    <row r="116" spans="2:11" ht="16.5" customHeight="1">
      <c r="B116" s="58">
        <v>2</v>
      </c>
      <c r="C116" s="116" t="s">
        <v>136</v>
      </c>
      <c r="D116" s="59" t="s">
        <v>292</v>
      </c>
      <c r="E116" s="117">
        <v>160</v>
      </c>
      <c r="F116" s="118">
        <v>1</v>
      </c>
      <c r="G116" s="25">
        <f>IFERROR(VLOOKUP(C116,'🥬 식재료 DB'!$C$7:$H$121,6,0),"")</f>
        <v>0.75</v>
      </c>
      <c r="H116" s="62">
        <f t="shared" si="5"/>
        <v>120</v>
      </c>
      <c r="I116" s="119"/>
      <c r="J116" s="119"/>
    </row>
    <row r="117" spans="2:11" ht="16.5" customHeight="1">
      <c r="B117" s="58">
        <v>3</v>
      </c>
      <c r="C117" s="6" t="s">
        <v>236</v>
      </c>
      <c r="D117" s="59" t="s">
        <v>292</v>
      </c>
      <c r="E117" s="60">
        <v>5</v>
      </c>
      <c r="F117" s="61">
        <v>1</v>
      </c>
      <c r="G117" s="25">
        <f>IFERROR(VLOOKUP(C117,'🥬 식재료 DB'!$C$7:$H$121,6,0),"")</f>
        <v>14</v>
      </c>
      <c r="H117" s="62">
        <f t="shared" si="5"/>
        <v>70</v>
      </c>
      <c r="I117" s="63"/>
      <c r="J117" s="63"/>
    </row>
    <row r="118" spans="2:11" ht="16.5" customHeight="1">
      <c r="B118" s="58">
        <v>4</v>
      </c>
      <c r="C118" s="116" t="s">
        <v>140</v>
      </c>
      <c r="D118" s="59" t="s">
        <v>292</v>
      </c>
      <c r="E118" s="117">
        <v>5</v>
      </c>
      <c r="F118" s="118">
        <v>1</v>
      </c>
      <c r="G118" s="25">
        <f>IFERROR(VLOOKUP(C118,'🥬 식재료 DB'!$C$7:$H$121,6,0),"")</f>
        <v>0.93333333333333335</v>
      </c>
      <c r="H118" s="62">
        <f t="shared" si="5"/>
        <v>4.666666666666667</v>
      </c>
      <c r="I118" s="119"/>
      <c r="J118" s="119"/>
    </row>
    <row r="119" spans="2:11" ht="16.5" customHeight="1">
      <c r="B119" s="58">
        <v>5</v>
      </c>
      <c r="C119" s="17" t="s">
        <v>183</v>
      </c>
      <c r="D119" s="59" t="s">
        <v>292</v>
      </c>
      <c r="E119" s="60">
        <v>5</v>
      </c>
      <c r="F119" s="61">
        <v>1</v>
      </c>
      <c r="G119" s="25">
        <f>IFERROR(VLOOKUP(C119,'🥬 식재료 DB'!$C$7:$H$121,6,0),"")</f>
        <v>25</v>
      </c>
      <c r="H119" s="62">
        <f t="shared" si="5"/>
        <v>125</v>
      </c>
      <c r="I119" s="63"/>
      <c r="J119" s="63"/>
    </row>
    <row r="120" spans="2:11" ht="16.5" customHeight="1">
      <c r="B120" s="58">
        <v>6</v>
      </c>
      <c r="C120" s="116" t="s">
        <v>168</v>
      </c>
      <c r="D120" s="59" t="s">
        <v>292</v>
      </c>
      <c r="E120" s="117">
        <v>5</v>
      </c>
      <c r="F120" s="118">
        <v>1</v>
      </c>
      <c r="G120" s="25">
        <f>IFERROR(VLOOKUP(C120,'🥬 식재료 DB'!$C$7:$H$121,6,0),"")</f>
        <v>1</v>
      </c>
      <c r="H120" s="62">
        <f t="shared" si="5"/>
        <v>5</v>
      </c>
      <c r="I120" s="119"/>
      <c r="J120" s="119"/>
    </row>
    <row r="121" spans="2:11" ht="16.5" customHeight="1">
      <c r="B121" s="58">
        <v>7</v>
      </c>
      <c r="C121" s="17" t="s">
        <v>182</v>
      </c>
      <c r="D121" s="59" t="s">
        <v>292</v>
      </c>
      <c r="E121" s="60">
        <v>10</v>
      </c>
      <c r="F121" s="61">
        <v>1</v>
      </c>
      <c r="G121" s="25">
        <f>IFERROR(VLOOKUP(C121,'🥬 식재료 DB'!$C$7:$H$121,6,0),"")</f>
        <v>18.125</v>
      </c>
      <c r="H121" s="62">
        <f t="shared" si="5"/>
        <v>181.25</v>
      </c>
      <c r="I121" s="63"/>
      <c r="J121" s="63"/>
    </row>
    <row r="122" spans="2:11" ht="16.5" customHeight="1">
      <c r="B122" s="58">
        <v>8</v>
      </c>
      <c r="C122" s="68"/>
      <c r="D122" s="59" t="s">
        <v>292</v>
      </c>
      <c r="E122" s="69"/>
      <c r="F122" s="70"/>
      <c r="G122" s="25" t="str">
        <f>IFERROR(VLOOKUP(C122,'🥬 식재료 DB'!$C$7:$H$121,6,0),"")</f>
        <v/>
      </c>
      <c r="H122" s="62" t="str">
        <f t="shared" si="5"/>
        <v/>
      </c>
      <c r="I122" s="119"/>
      <c r="J122" s="119"/>
    </row>
    <row r="123" spans="2:11" ht="16.5" customHeight="1">
      <c r="B123" s="58">
        <v>9</v>
      </c>
      <c r="C123" s="68"/>
      <c r="D123" s="59" t="s">
        <v>292</v>
      </c>
      <c r="E123" s="69"/>
      <c r="F123" s="70"/>
      <c r="G123" s="25" t="str">
        <f>IFERROR(VLOOKUP(C123,'🥬 식재료 DB'!$C$7:$H$121,6,0),"")</f>
        <v/>
      </c>
      <c r="H123" s="62" t="str">
        <f t="shared" si="5"/>
        <v/>
      </c>
      <c r="I123" s="63"/>
      <c r="J123" s="63"/>
    </row>
    <row r="124" spans="2:11" ht="16.5" customHeight="1">
      <c r="B124" s="58">
        <v>10</v>
      </c>
      <c r="C124" s="68"/>
      <c r="D124" s="59" t="s">
        <v>292</v>
      </c>
      <c r="E124" s="69"/>
      <c r="F124" s="70"/>
      <c r="G124" s="25" t="str">
        <f>IFERROR(VLOOKUP(C124,'🥬 식재료 DB'!$C$7:$H$121,6,0),"")</f>
        <v/>
      </c>
      <c r="H124" s="62" t="str">
        <f t="shared" si="5"/>
        <v/>
      </c>
      <c r="I124" s="119"/>
      <c r="J124" s="119"/>
    </row>
    <row r="125" spans="2:11" ht="16.5" customHeight="1">
      <c r="B125" s="58">
        <v>11</v>
      </c>
      <c r="C125" s="68"/>
      <c r="D125" s="59" t="s">
        <v>292</v>
      </c>
      <c r="E125" s="69"/>
      <c r="F125" s="70"/>
      <c r="G125" s="25" t="str">
        <f>IFERROR(VLOOKUP(C125,'🥬 식재료 DB'!$C$7:$H$121,6,0),"")</f>
        <v/>
      </c>
      <c r="H125" s="62" t="str">
        <f t="shared" si="5"/>
        <v/>
      </c>
      <c r="I125" s="63"/>
      <c r="J125" s="63"/>
    </row>
    <row r="126" spans="2:11" ht="16.5" customHeight="1">
      <c r="B126" s="58">
        <v>12</v>
      </c>
      <c r="C126" s="68"/>
      <c r="D126" s="59" t="s">
        <v>292</v>
      </c>
      <c r="E126" s="69"/>
      <c r="F126" s="70"/>
      <c r="G126" s="25" t="str">
        <f>IFERROR(VLOOKUP(C126,'🥬 식재료 DB'!$C$7:$H$121,6,0),"")</f>
        <v/>
      </c>
      <c r="H126" s="62" t="str">
        <f t="shared" si="5"/>
        <v/>
      </c>
      <c r="I126" s="119"/>
      <c r="J126" s="119"/>
    </row>
    <row r="127" spans="2:11" ht="12.75" customHeight="1">
      <c r="B127" s="203" t="s">
        <v>293</v>
      </c>
      <c r="C127" s="203"/>
      <c r="D127" s="203"/>
      <c r="E127" s="203"/>
      <c r="F127" s="203"/>
      <c r="G127" s="203"/>
      <c r="H127" s="203"/>
      <c r="I127" s="203"/>
      <c r="J127" s="203"/>
      <c r="K127" s="203"/>
    </row>
    <row r="128" spans="2:11" ht="16.5" customHeight="1">
      <c r="B128" s="71">
        <v>13</v>
      </c>
      <c r="C128" s="6" t="s">
        <v>296</v>
      </c>
      <c r="D128" s="72" t="s">
        <v>295</v>
      </c>
      <c r="E128" s="60">
        <v>30</v>
      </c>
      <c r="F128" s="61">
        <v>1</v>
      </c>
      <c r="G128" s="73">
        <f>IFERROR(VLOOKUP(C128,'🧪 프렙 원가표'!$C$8:$D$18,2,0),IFERROR(VLOOKUP(C128,'🥬 식재료 DB'!$C$7:$H$121,6,0),""))</f>
        <v>11</v>
      </c>
      <c r="H128" s="74">
        <f>IFERROR(IF(AND(C128&lt;&gt;"",ISNUMBER(E128),ISNUMBER(F128),F128&gt;0,ISNUMBER(G128)),E128/F128*G128,""),"")</f>
        <v>330</v>
      </c>
      <c r="I128" s="63"/>
      <c r="J128" s="63"/>
    </row>
    <row r="129" spans="2:11" ht="16.5" customHeight="1">
      <c r="B129" s="71">
        <v>14</v>
      </c>
      <c r="C129" s="68"/>
      <c r="D129" s="72" t="s">
        <v>295</v>
      </c>
      <c r="E129" s="69"/>
      <c r="F129" s="70"/>
      <c r="G129" s="73" t="str">
        <f>IFERROR(VLOOKUP(C129,'🧪 프렙 원가표'!$C$8:$D$18,2,0),IFERROR(VLOOKUP(C129,'🥬 식재료 DB'!$C$7:$H$121,6,0),""))</f>
        <v/>
      </c>
      <c r="H129" s="74" t="str">
        <f>IFERROR(IF(AND(C129&lt;&gt;"",ISNUMBER(E129),ISNUMBER(F129),F129&gt;0,ISNUMBER(G129)),E129/F129*G129,""),"")</f>
        <v/>
      </c>
      <c r="I129" s="77"/>
      <c r="J129" s="77"/>
    </row>
    <row r="130" spans="2:11" ht="16.5" customHeight="1">
      <c r="B130" s="71">
        <v>15</v>
      </c>
      <c r="C130" s="68"/>
      <c r="D130" s="72" t="s">
        <v>295</v>
      </c>
      <c r="E130" s="69"/>
      <c r="F130" s="70"/>
      <c r="G130" s="73" t="str">
        <f>IFERROR(VLOOKUP(C130,'🧪 프렙 원가표'!$C$8:$D$18,2,0),IFERROR(VLOOKUP(C130,'🥬 식재료 DB'!$C$7:$H$121,6,0),""))</f>
        <v/>
      </c>
      <c r="H130" s="74" t="str">
        <f>IFERROR(IF(AND(C130&lt;&gt;"",ISNUMBER(E130),ISNUMBER(F130),F130&gt;0,ISNUMBER(G130)),E130/F130*G130,""),"")</f>
        <v/>
      </c>
      <c r="I130" s="63"/>
      <c r="J130" s="63"/>
    </row>
    <row r="131" spans="2:11" ht="16.5" customHeight="1">
      <c r="B131" s="71">
        <v>16</v>
      </c>
      <c r="C131" s="68"/>
      <c r="D131" s="72" t="s">
        <v>295</v>
      </c>
      <c r="E131" s="69"/>
      <c r="F131" s="70"/>
      <c r="G131" s="73" t="str">
        <f>IFERROR(VLOOKUP(C131,'🧪 프렙 원가표'!$C$8:$D$18,2,0),IFERROR(VLOOKUP(C131,'🥬 식재료 DB'!$C$7:$H$121,6,0),""))</f>
        <v/>
      </c>
      <c r="H131" s="74" t="str">
        <f>IFERROR(IF(AND(C131&lt;&gt;"",ISNUMBER(E131),ISNUMBER(F131),F131&gt;0,ISNUMBER(G131)),E131/F131*G131,""),"")</f>
        <v/>
      </c>
      <c r="I131" s="77"/>
      <c r="J131" s="77"/>
    </row>
    <row r="132" spans="2:11" ht="16.5" customHeight="1">
      <c r="B132" s="71">
        <v>17</v>
      </c>
      <c r="C132" s="68"/>
      <c r="D132" s="72" t="s">
        <v>295</v>
      </c>
      <c r="E132" s="69"/>
      <c r="F132" s="70"/>
      <c r="G132" s="73" t="str">
        <f>IFERROR(VLOOKUP(C132,'🧪 프렙 원가표'!$C$8:$D$18,2,0),IFERROR(VLOOKUP(C132,'🥬 식재료 DB'!$C$7:$H$121,6,0),""))</f>
        <v/>
      </c>
      <c r="H132" s="74" t="str">
        <f>IFERROR(IF(AND(C132&lt;&gt;"",ISNUMBER(E132),ISNUMBER(F132),F132&gt;0,ISNUMBER(G132)),E132/F132*G132,""),"")</f>
        <v/>
      </c>
      <c r="I132" s="63"/>
      <c r="J132" s="63"/>
    </row>
    <row r="133" spans="2:11" ht="3.75" customHeight="1">
      <c r="B133" s="78"/>
      <c r="C133" s="78"/>
      <c r="D133" s="78"/>
      <c r="E133" s="78"/>
      <c r="F133" s="78"/>
      <c r="G133" s="78"/>
      <c r="H133" s="78"/>
      <c r="I133" s="78"/>
      <c r="J133" s="78"/>
      <c r="K133" s="78"/>
    </row>
    <row r="134" spans="2:11" ht="27" customHeight="1">
      <c r="B134" s="50"/>
      <c r="C134" s="51" t="s">
        <v>405</v>
      </c>
      <c r="D134" s="50"/>
      <c r="E134" s="52">
        <v>5500</v>
      </c>
      <c r="F134" s="53">
        <f>IFERROR(SUM(H136,H137,H138,H139,H140,H141,H142,H143,H144,H145,H146,H147,H149,H150,H151,H152,H153),0)</f>
        <v>733.73903508771923</v>
      </c>
      <c r="G134" s="54">
        <f>IFERROR(E134*'💰 고정비용 DB'!$D$22/'💰 고정비용 DB'!$D$25,0)</f>
        <v>3631.6338628904482</v>
      </c>
      <c r="H134" s="55">
        <f>IFERROR(G134-F134,"")</f>
        <v>2897.8948278027292</v>
      </c>
      <c r="I134" s="56">
        <f>IFERROR(H134/E134,"")</f>
        <v>0.52688996869140536</v>
      </c>
      <c r="J134" s="57" t="str">
        <f>IF(I134="","⬜ 미입력",IF(I134&lt;=0.2,"✅ 양호",IF(I134&lt;=0.32,"🟡 주의","🔴 과다")))</f>
        <v>🔴 과다</v>
      </c>
      <c r="K134" s="50"/>
    </row>
    <row r="135" spans="2:11" ht="12.75" customHeight="1">
      <c r="B135" s="204" t="s">
        <v>291</v>
      </c>
      <c r="C135" s="204"/>
      <c r="D135" s="204"/>
      <c r="E135" s="204"/>
      <c r="F135" s="204"/>
      <c r="G135" s="204"/>
      <c r="H135" s="204"/>
      <c r="I135" s="204"/>
      <c r="J135" s="204"/>
      <c r="K135" s="204"/>
    </row>
    <row r="136" spans="2:11" ht="16.5" customHeight="1">
      <c r="B136" s="58">
        <v>1</v>
      </c>
      <c r="C136" s="6" t="s">
        <v>141</v>
      </c>
      <c r="D136" s="59" t="s">
        <v>292</v>
      </c>
      <c r="E136" s="60">
        <v>30</v>
      </c>
      <c r="F136" s="61">
        <v>1</v>
      </c>
      <c r="G136" s="25">
        <f>IFERROR(VLOOKUP(C136,'🥬 식재료 DB'!$C$7:$H$121,6,0),"")</f>
        <v>1.75</v>
      </c>
      <c r="H136" s="62">
        <f t="shared" ref="H136:H147" si="6">IFERROR(IF(AND(C136&lt;&gt;"",ISNUMBER(E136),ISNUMBER(F136),F136&gt;0,ISNUMBER(G136)),E136/F136*G136,""),"")</f>
        <v>52.5</v>
      </c>
      <c r="I136" s="63"/>
      <c r="J136" s="63"/>
    </row>
    <row r="137" spans="2:11" ht="16.5" customHeight="1">
      <c r="B137" s="58">
        <v>2</v>
      </c>
      <c r="C137" s="116" t="s">
        <v>136</v>
      </c>
      <c r="D137" s="59" t="s">
        <v>292</v>
      </c>
      <c r="E137" s="117">
        <v>160</v>
      </c>
      <c r="F137" s="118">
        <v>1</v>
      </c>
      <c r="G137" s="25">
        <f>IFERROR(VLOOKUP(C137,'🥬 식재료 DB'!$C$7:$H$121,6,0),"")</f>
        <v>0.75</v>
      </c>
      <c r="H137" s="62">
        <f t="shared" si="6"/>
        <v>120</v>
      </c>
      <c r="I137" s="119"/>
      <c r="J137" s="119"/>
    </row>
    <row r="138" spans="2:11" ht="16.5" customHeight="1">
      <c r="B138" s="58">
        <v>3</v>
      </c>
      <c r="C138" s="6" t="s">
        <v>206</v>
      </c>
      <c r="D138" s="59" t="s">
        <v>292</v>
      </c>
      <c r="E138" s="60">
        <v>10</v>
      </c>
      <c r="F138" s="61">
        <v>1</v>
      </c>
      <c r="G138" s="25">
        <f>IFERROR(VLOOKUP(C138,'🥬 식재료 DB'!$C$7:$H$121,6,0),"")</f>
        <v>12.894736842105264</v>
      </c>
      <c r="H138" s="62">
        <f t="shared" si="6"/>
        <v>128.94736842105263</v>
      </c>
      <c r="I138" s="63"/>
      <c r="J138" s="63"/>
    </row>
    <row r="139" spans="2:11" ht="16.5" customHeight="1">
      <c r="B139" s="58">
        <v>4</v>
      </c>
      <c r="C139" s="116" t="s">
        <v>210</v>
      </c>
      <c r="D139" s="59" t="s">
        <v>292</v>
      </c>
      <c r="E139" s="117">
        <v>10</v>
      </c>
      <c r="F139" s="118">
        <v>1</v>
      </c>
      <c r="G139" s="25">
        <f>IFERROR(VLOOKUP(C139,'🥬 식재료 DB'!$C$7:$H$121,6,0),"")</f>
        <v>0</v>
      </c>
      <c r="H139" s="62">
        <f t="shared" si="6"/>
        <v>0</v>
      </c>
      <c r="I139" s="119"/>
      <c r="J139" s="119"/>
    </row>
    <row r="140" spans="2:11" ht="16.5" customHeight="1">
      <c r="B140" s="58">
        <v>5</v>
      </c>
      <c r="C140" s="17" t="s">
        <v>182</v>
      </c>
      <c r="D140" s="59" t="s">
        <v>292</v>
      </c>
      <c r="E140" s="60">
        <v>5</v>
      </c>
      <c r="F140" s="61">
        <v>1</v>
      </c>
      <c r="G140" s="25">
        <f>IFERROR(VLOOKUP(C140,'🥬 식재료 DB'!$C$7:$H$121,6,0),"")</f>
        <v>18.125</v>
      </c>
      <c r="H140" s="62">
        <f t="shared" si="6"/>
        <v>90.625</v>
      </c>
      <c r="I140" s="63"/>
      <c r="J140" s="63"/>
    </row>
    <row r="141" spans="2:11" ht="16.5" customHeight="1">
      <c r="B141" s="58">
        <v>6</v>
      </c>
      <c r="C141" s="116" t="s">
        <v>168</v>
      </c>
      <c r="D141" s="59" t="s">
        <v>292</v>
      </c>
      <c r="E141" s="117">
        <v>5</v>
      </c>
      <c r="F141" s="118">
        <v>1</v>
      </c>
      <c r="G141" s="25">
        <f>IFERROR(VLOOKUP(C141,'🥬 식재료 DB'!$C$7:$H$121,6,0),"")</f>
        <v>1</v>
      </c>
      <c r="H141" s="62">
        <f t="shared" si="6"/>
        <v>5</v>
      </c>
      <c r="I141" s="119"/>
      <c r="J141" s="119"/>
    </row>
    <row r="142" spans="2:11" ht="16.5" customHeight="1">
      <c r="B142" s="58">
        <v>7</v>
      </c>
      <c r="C142" s="6" t="s">
        <v>169</v>
      </c>
      <c r="D142" s="59" t="s">
        <v>292</v>
      </c>
      <c r="E142" s="60">
        <v>5</v>
      </c>
      <c r="F142" s="61">
        <v>1</v>
      </c>
      <c r="G142" s="25">
        <f>IFERROR(VLOOKUP(C142,'🥬 식재료 DB'!$C$7:$H$121,6,0),"")</f>
        <v>1.3333333333333333</v>
      </c>
      <c r="H142" s="62">
        <f t="shared" si="6"/>
        <v>6.6666666666666661</v>
      </c>
      <c r="I142" s="63"/>
      <c r="J142" s="63"/>
    </row>
    <row r="143" spans="2:11" ht="16.5" customHeight="1">
      <c r="B143" s="58">
        <v>8</v>
      </c>
      <c r="C143" s="68"/>
      <c r="D143" s="59" t="s">
        <v>292</v>
      </c>
      <c r="E143" s="69"/>
      <c r="F143" s="70"/>
      <c r="G143" s="25" t="str">
        <f>IFERROR(VLOOKUP(C143,'🥬 식재료 DB'!$C$7:$H$121,6,0),"")</f>
        <v/>
      </c>
      <c r="H143" s="62" t="str">
        <f t="shared" si="6"/>
        <v/>
      </c>
      <c r="I143" s="119"/>
      <c r="J143" s="119"/>
    </row>
    <row r="144" spans="2:11" ht="16.5" customHeight="1">
      <c r="B144" s="58">
        <v>9</v>
      </c>
      <c r="C144" s="68"/>
      <c r="D144" s="59" t="s">
        <v>292</v>
      </c>
      <c r="E144" s="69"/>
      <c r="F144" s="70"/>
      <c r="G144" s="25" t="str">
        <f>IFERROR(VLOOKUP(C144,'🥬 식재료 DB'!$C$7:$H$121,6,0),"")</f>
        <v/>
      </c>
      <c r="H144" s="62" t="str">
        <f t="shared" si="6"/>
        <v/>
      </c>
      <c r="I144" s="63"/>
      <c r="J144" s="63"/>
    </row>
    <row r="145" spans="2:11" ht="16.5" customHeight="1">
      <c r="B145" s="58">
        <v>10</v>
      </c>
      <c r="C145" s="68"/>
      <c r="D145" s="59" t="s">
        <v>292</v>
      </c>
      <c r="E145" s="69"/>
      <c r="F145" s="70"/>
      <c r="G145" s="25" t="str">
        <f>IFERROR(VLOOKUP(C145,'🥬 식재료 DB'!$C$7:$H$121,6,0),"")</f>
        <v/>
      </c>
      <c r="H145" s="62" t="str">
        <f t="shared" si="6"/>
        <v/>
      </c>
      <c r="I145" s="119"/>
      <c r="J145" s="119"/>
    </row>
    <row r="146" spans="2:11" ht="16.5" customHeight="1">
      <c r="B146" s="58">
        <v>11</v>
      </c>
      <c r="C146" s="68"/>
      <c r="D146" s="59" t="s">
        <v>292</v>
      </c>
      <c r="E146" s="69"/>
      <c r="F146" s="70"/>
      <c r="G146" s="25" t="str">
        <f>IFERROR(VLOOKUP(C146,'🥬 식재료 DB'!$C$7:$H$121,6,0),"")</f>
        <v/>
      </c>
      <c r="H146" s="62" t="str">
        <f t="shared" si="6"/>
        <v/>
      </c>
      <c r="I146" s="63"/>
      <c r="J146" s="63"/>
    </row>
    <row r="147" spans="2:11" ht="16.5" customHeight="1">
      <c r="B147" s="58">
        <v>12</v>
      </c>
      <c r="C147" s="68"/>
      <c r="D147" s="59" t="s">
        <v>292</v>
      </c>
      <c r="E147" s="69"/>
      <c r="F147" s="70"/>
      <c r="G147" s="25" t="str">
        <f>IFERROR(VLOOKUP(C147,'🥬 식재료 DB'!$C$7:$H$121,6,0),"")</f>
        <v/>
      </c>
      <c r="H147" s="62" t="str">
        <f t="shared" si="6"/>
        <v/>
      </c>
      <c r="I147" s="119"/>
      <c r="J147" s="119"/>
    </row>
    <row r="148" spans="2:11" ht="12.75" customHeight="1">
      <c r="B148" s="203" t="s">
        <v>293</v>
      </c>
      <c r="C148" s="203"/>
      <c r="D148" s="203"/>
      <c r="E148" s="203"/>
      <c r="F148" s="203"/>
      <c r="G148" s="203"/>
      <c r="H148" s="203"/>
      <c r="I148" s="203"/>
      <c r="J148" s="203"/>
      <c r="K148" s="203"/>
    </row>
    <row r="149" spans="2:11" ht="16.5" customHeight="1">
      <c r="B149" s="71">
        <v>13</v>
      </c>
      <c r="C149" s="6" t="s">
        <v>296</v>
      </c>
      <c r="D149" s="72" t="s">
        <v>295</v>
      </c>
      <c r="E149" s="60">
        <v>30</v>
      </c>
      <c r="F149" s="61">
        <v>1</v>
      </c>
      <c r="G149" s="73">
        <f>IFERROR(VLOOKUP(C149,'🧪 프렙 원가표'!$C$8:$D$18,2,0),IFERROR(VLOOKUP(C149,'🥬 식재료 DB'!$C$7:$H$121,6,0),""))</f>
        <v>11</v>
      </c>
      <c r="H149" s="74">
        <f>IFERROR(IF(AND(C149&lt;&gt;"",ISNUMBER(E149),ISNUMBER(F149),F149&gt;0,ISNUMBER(G149)),E149/F149*G149,""),"")</f>
        <v>330</v>
      </c>
      <c r="I149" s="63"/>
      <c r="J149" s="63"/>
    </row>
    <row r="150" spans="2:11" ht="16.5" customHeight="1">
      <c r="B150" s="71">
        <v>14</v>
      </c>
      <c r="C150" s="68"/>
      <c r="D150" s="72" t="s">
        <v>295</v>
      </c>
      <c r="E150" s="69"/>
      <c r="F150" s="70"/>
      <c r="G150" s="73" t="str">
        <f>IFERROR(VLOOKUP(C150,'🧪 프렙 원가표'!$C$8:$D$18,2,0),IFERROR(VLOOKUP(C150,'🥬 식재료 DB'!$C$7:$H$121,6,0),""))</f>
        <v/>
      </c>
      <c r="H150" s="74" t="str">
        <f>IFERROR(IF(AND(C150&lt;&gt;"",ISNUMBER(E150),ISNUMBER(F150),F150&gt;0,ISNUMBER(G150)),E150/F150*G150,""),"")</f>
        <v/>
      </c>
      <c r="I150" s="77"/>
      <c r="J150" s="77"/>
    </row>
    <row r="151" spans="2:11" ht="16.5" customHeight="1">
      <c r="B151" s="71">
        <v>15</v>
      </c>
      <c r="C151" s="68"/>
      <c r="D151" s="72" t="s">
        <v>295</v>
      </c>
      <c r="E151" s="69"/>
      <c r="F151" s="70"/>
      <c r="G151" s="73" t="str">
        <f>IFERROR(VLOOKUP(C151,'🧪 프렙 원가표'!$C$8:$D$18,2,0),IFERROR(VLOOKUP(C151,'🥬 식재료 DB'!$C$7:$H$121,6,0),""))</f>
        <v/>
      </c>
      <c r="H151" s="74" t="str">
        <f>IFERROR(IF(AND(C151&lt;&gt;"",ISNUMBER(E151),ISNUMBER(F151),F151&gt;0,ISNUMBER(G151)),E151/F151*G151,""),"")</f>
        <v/>
      </c>
      <c r="I151" s="63"/>
      <c r="J151" s="63"/>
    </row>
    <row r="152" spans="2:11" ht="16.5" customHeight="1">
      <c r="B152" s="71">
        <v>16</v>
      </c>
      <c r="C152" s="68"/>
      <c r="D152" s="72" t="s">
        <v>295</v>
      </c>
      <c r="E152" s="69"/>
      <c r="F152" s="70"/>
      <c r="G152" s="73" t="str">
        <f>IFERROR(VLOOKUP(C152,'🧪 프렙 원가표'!$C$8:$D$18,2,0),IFERROR(VLOOKUP(C152,'🥬 식재료 DB'!$C$7:$H$121,6,0),""))</f>
        <v/>
      </c>
      <c r="H152" s="74" t="str">
        <f>IFERROR(IF(AND(C152&lt;&gt;"",ISNUMBER(E152),ISNUMBER(F152),F152&gt;0,ISNUMBER(G152)),E152/F152*G152,""),"")</f>
        <v/>
      </c>
      <c r="I152" s="77"/>
      <c r="J152" s="77"/>
    </row>
    <row r="153" spans="2:11" ht="16.5" customHeight="1">
      <c r="B153" s="71">
        <v>17</v>
      </c>
      <c r="C153" s="68"/>
      <c r="D153" s="72" t="s">
        <v>295</v>
      </c>
      <c r="E153" s="69"/>
      <c r="F153" s="70"/>
      <c r="G153" s="73" t="str">
        <f>IFERROR(VLOOKUP(C153,'🧪 프렙 원가표'!$C$8:$D$18,2,0),IFERROR(VLOOKUP(C153,'🥬 식재료 DB'!$C$7:$H$121,6,0),""))</f>
        <v/>
      </c>
      <c r="H153" s="74" t="str">
        <f>IFERROR(IF(AND(C153&lt;&gt;"",ISNUMBER(E153),ISNUMBER(F153),F153&gt;0,ISNUMBER(G153)),E153/F153*G153,""),"")</f>
        <v/>
      </c>
      <c r="I153" s="63"/>
      <c r="J153" s="63"/>
    </row>
    <row r="154" spans="2:11" ht="3.75" customHeight="1">
      <c r="B154" s="78"/>
      <c r="C154" s="78"/>
      <c r="D154" s="78"/>
      <c r="E154" s="78"/>
      <c r="F154" s="78"/>
      <c r="G154" s="78"/>
      <c r="H154" s="78"/>
      <c r="I154" s="78"/>
      <c r="J154" s="78"/>
      <c r="K154" s="78"/>
    </row>
  </sheetData>
  <mergeCells count="17">
    <mergeCell ref="B2:K2"/>
    <mergeCell ref="B4:K4"/>
    <mergeCell ref="B5:K5"/>
    <mergeCell ref="B9:K9"/>
    <mergeCell ref="B22:K22"/>
    <mergeCell ref="B30:K30"/>
    <mergeCell ref="B43:K43"/>
    <mergeCell ref="B51:K51"/>
    <mergeCell ref="B64:K64"/>
    <mergeCell ref="B72:K72"/>
    <mergeCell ref="B135:K135"/>
    <mergeCell ref="B148:K148"/>
    <mergeCell ref="B85:K85"/>
    <mergeCell ref="B93:K93"/>
    <mergeCell ref="B106:K106"/>
    <mergeCell ref="B114:K114"/>
    <mergeCell ref="B127:K127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K136"/>
  <sheetViews>
    <sheetView showGridLines="0" zoomScaleNormal="100" workbookViewId="0">
      <pane xSplit="2" ySplit="7" topLeftCell="C131" activePane="bottomRight" state="frozen"/>
      <selection pane="topRight" activeCell="C1" sqref="C1"/>
      <selection pane="bottomLeft" activeCell="A8" sqref="A8"/>
      <selection pane="bottomRight" activeCell="H116" sqref="H116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13" t="s">
        <v>406</v>
      </c>
      <c r="C2" s="213"/>
      <c r="D2" s="213"/>
      <c r="E2" s="213"/>
      <c r="F2" s="213"/>
      <c r="G2" s="213"/>
      <c r="H2" s="213"/>
      <c r="I2" s="213"/>
      <c r="J2" s="213"/>
      <c r="K2" s="213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121" t="s">
        <v>6</v>
      </c>
      <c r="C7" s="122" t="s">
        <v>130</v>
      </c>
      <c r="D7" s="122" t="s">
        <v>284</v>
      </c>
      <c r="E7" s="122" t="s">
        <v>285</v>
      </c>
      <c r="F7" s="122" t="s">
        <v>286</v>
      </c>
      <c r="G7" s="121" t="s">
        <v>287</v>
      </c>
      <c r="H7" s="122" t="s">
        <v>288</v>
      </c>
      <c r="I7" s="122" t="s">
        <v>289</v>
      </c>
    </row>
    <row r="8" spans="2:11" ht="27" customHeight="1">
      <c r="B8" s="50"/>
      <c r="C8" s="51" t="s">
        <v>407</v>
      </c>
      <c r="D8" s="50"/>
      <c r="E8" s="52">
        <v>5000</v>
      </c>
      <c r="F8" s="53">
        <f>IFERROR(SUM(H10,H11,H12,H13,H14,H15,H16,H17,H18,H19,H20,H21,H23,H24,H25,H26,H27),0)</f>
        <v>25.5</v>
      </c>
      <c r="G8" s="54">
        <f>IFERROR(E8*'💰 고정비용 DB'!$D$22/'💰 고정비용 DB'!$D$25,0)</f>
        <v>3301.4853299004076</v>
      </c>
      <c r="H8" s="55">
        <f>IFERROR(G8-F8,"")</f>
        <v>3275.9853299004076</v>
      </c>
      <c r="I8" s="56">
        <f>IFERROR(H8/E8,"")</f>
        <v>0.65519706598008154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408</v>
      </c>
      <c r="D10" s="59" t="s">
        <v>292</v>
      </c>
      <c r="E10" s="60">
        <v>17</v>
      </c>
      <c r="F10" s="61">
        <v>1</v>
      </c>
      <c r="G10" s="25" t="str">
        <f>IFERROR(VLOOKUP(C10,'🥬 식재료 DB'!$C$7:$H$121,6,0),"")</f>
        <v/>
      </c>
      <c r="H10" s="62" t="str">
        <f t="shared" ref="H10:H21" si="0">IFERROR(IF(AND(C10&lt;&gt;"",ISNUMBER(E10),ISNUMBER(F10),F10&gt;0,ISNUMBER(G10)),E10/F10*G10,""),"")</f>
        <v/>
      </c>
      <c r="I10" s="63"/>
      <c r="J10" s="63"/>
    </row>
    <row r="11" spans="2:11" ht="16.5" customHeight="1">
      <c r="B11" s="58">
        <v>2</v>
      </c>
      <c r="C11" s="123" t="s">
        <v>300</v>
      </c>
      <c r="D11" s="59" t="s">
        <v>292</v>
      </c>
      <c r="E11" s="124">
        <v>20</v>
      </c>
      <c r="F11" s="125">
        <v>1</v>
      </c>
      <c r="G11" s="25" t="str">
        <f>IFERROR(VLOOKUP(C11,'🥬 식재료 DB'!$C$7:$H$121,6,0),"")</f>
        <v/>
      </c>
      <c r="H11" s="62" t="str">
        <f t="shared" si="0"/>
        <v/>
      </c>
      <c r="I11" s="126"/>
      <c r="J11" s="126"/>
    </row>
    <row r="12" spans="2:11" ht="16.5" customHeight="1">
      <c r="B12" s="58">
        <v>3</v>
      </c>
      <c r="C12" s="6" t="s">
        <v>409</v>
      </c>
      <c r="D12" s="59" t="s">
        <v>292</v>
      </c>
      <c r="E12" s="60">
        <v>250</v>
      </c>
      <c r="F12" s="61">
        <v>1</v>
      </c>
      <c r="G12" s="25" t="str">
        <f>IFERROR(VLOOKUP(C12,'🥬 식재료 DB'!$C$7:$H$121,6,0),"")</f>
        <v/>
      </c>
      <c r="H12" s="62" t="str">
        <f t="shared" si="0"/>
        <v/>
      </c>
      <c r="I12" s="63"/>
      <c r="J12" s="63"/>
    </row>
    <row r="13" spans="2:11" ht="16.5" customHeight="1">
      <c r="B13" s="58">
        <v>4</v>
      </c>
      <c r="C13" s="123" t="s">
        <v>168</v>
      </c>
      <c r="D13" s="59" t="s">
        <v>292</v>
      </c>
      <c r="E13" s="124">
        <v>3</v>
      </c>
      <c r="F13" s="125">
        <v>1</v>
      </c>
      <c r="G13" s="25">
        <f>IFERROR(VLOOKUP(C13,'🥬 식재료 DB'!$C$7:$H$121,6,0),"")</f>
        <v>1</v>
      </c>
      <c r="H13" s="62">
        <f t="shared" si="0"/>
        <v>3</v>
      </c>
      <c r="I13" s="126"/>
      <c r="J13" s="126"/>
    </row>
    <row r="14" spans="2:11" ht="16.5" customHeight="1">
      <c r="B14" s="58">
        <v>5</v>
      </c>
      <c r="C14" s="6" t="s">
        <v>163</v>
      </c>
      <c r="D14" s="59" t="s">
        <v>292</v>
      </c>
      <c r="E14" s="60">
        <v>1</v>
      </c>
      <c r="F14" s="61">
        <v>1</v>
      </c>
      <c r="G14" s="25">
        <f>IFERROR(VLOOKUP(C14,'🥬 식재료 DB'!$C$7:$H$121,6,0),"")</f>
        <v>22.5</v>
      </c>
      <c r="H14" s="62">
        <f t="shared" si="0"/>
        <v>22.5</v>
      </c>
      <c r="I14" s="63"/>
      <c r="J14" s="63"/>
    </row>
    <row r="15" spans="2:11" ht="16.5" customHeight="1">
      <c r="B15" s="58">
        <v>6</v>
      </c>
      <c r="C15" s="68"/>
      <c r="D15" s="59" t="s">
        <v>292</v>
      </c>
      <c r="E15" s="69"/>
      <c r="F15" s="70"/>
      <c r="G15" s="25" t="str">
        <f>IFERROR(VLOOKUP(C15,'🥬 식재료 DB'!$C$7:$H$121,6,0),"")</f>
        <v/>
      </c>
      <c r="H15" s="62" t="str">
        <f t="shared" si="0"/>
        <v/>
      </c>
      <c r="I15" s="126"/>
      <c r="J15" s="126"/>
    </row>
    <row r="16" spans="2:11" ht="16.5" customHeight="1">
      <c r="B16" s="58">
        <v>7</v>
      </c>
      <c r="C16" s="68"/>
      <c r="D16" s="59" t="s">
        <v>292</v>
      </c>
      <c r="E16" s="69"/>
      <c r="F16" s="70"/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68"/>
      <c r="D17" s="59" t="s">
        <v>292</v>
      </c>
      <c r="E17" s="69"/>
      <c r="F17" s="70"/>
      <c r="G17" s="25" t="str">
        <f>IFERROR(VLOOKUP(C17,'🥬 식재료 DB'!$C$7:$H$121,6,0),"")</f>
        <v/>
      </c>
      <c r="H17" s="62" t="str">
        <f t="shared" si="0"/>
        <v/>
      </c>
      <c r="I17" s="126"/>
      <c r="J17" s="126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126"/>
      <c r="J19" s="126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126"/>
      <c r="J21" s="126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8"/>
      <c r="D23" s="72" t="s">
        <v>295</v>
      </c>
      <c r="E23" s="69"/>
      <c r="F23" s="70"/>
      <c r="G23" s="73" t="str">
        <f>IFERROR(VLOOKUP(C23,'🧪 프렙 원가표'!$C$8:$D$18,2,0),IFERROR(VLOOKUP(C23,'🥬 식재료 DB'!$C$7:$H$121,6,0),""))</f>
        <v/>
      </c>
      <c r="H23" s="74" t="str">
        <f>IFERROR(IF(AND(C23&lt;&gt;"",ISNUMBER(E23),ISNUMBER(F23),F23&gt;0,ISNUMBER(G23)),E23/F23*G23,""),"")</f>
        <v/>
      </c>
      <c r="I23" s="63"/>
      <c r="J23" s="63"/>
    </row>
    <row r="24" spans="2:11" ht="16.5" customHeight="1">
      <c r="B24" s="71">
        <v>14</v>
      </c>
      <c r="C24" s="68"/>
      <c r="D24" s="72" t="s">
        <v>295</v>
      </c>
      <c r="E24" s="69"/>
      <c r="F24" s="70"/>
      <c r="G24" s="73" t="str">
        <f>IFERROR(VLOOKUP(C24,'🧪 프렙 원가표'!$C$8:$D$18,2,0),IFERROR(VLOOKUP(C24,'🥬 식재료 DB'!$C$7:$H$121,6,0),""))</f>
        <v/>
      </c>
      <c r="H24" s="74" t="str">
        <f>IFERROR(IF(AND(C24&lt;&gt;"",ISNUMBER(E24),ISNUMBER(F24),F24&gt;0,ISNUMBER(G24)),E24/F24*G24,""),"")</f>
        <v/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410</v>
      </c>
      <c r="D29" s="50"/>
      <c r="E29" s="52">
        <v>5000</v>
      </c>
      <c r="F29" s="53">
        <f>IFERROR(SUM(H31,H32,H33,H34,H35,H36,H37,H38,H39,H40,H41,H42,H44,H45,H46,H47,H48),0)</f>
        <v>174</v>
      </c>
      <c r="G29" s="54">
        <f>IFERROR(E29*'💰 고정비용 DB'!$D$22/'💰 고정비용 DB'!$D$25,0)</f>
        <v>3301.4853299004076</v>
      </c>
      <c r="H29" s="55">
        <f>IFERROR(G29-F29,"")</f>
        <v>3127.4853299004076</v>
      </c>
      <c r="I29" s="56">
        <f>IFERROR(H29/E29,"")</f>
        <v>0.62549706598008148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408</v>
      </c>
      <c r="D31" s="59" t="s">
        <v>292</v>
      </c>
      <c r="E31" s="60">
        <v>17</v>
      </c>
      <c r="F31" s="61">
        <v>1</v>
      </c>
      <c r="G31" s="25" t="str">
        <f>IFERROR(VLOOKUP(C31,'🥬 식재료 DB'!$C$7:$H$121,6,0),"")</f>
        <v/>
      </c>
      <c r="H31" s="62" t="str">
        <f t="shared" ref="H31:H42" si="1">IFERROR(IF(AND(C31&lt;&gt;"",ISNUMBER(E31),ISNUMBER(F31),F31&gt;0,ISNUMBER(G31)),E31/F31*G31,""),"")</f>
        <v/>
      </c>
      <c r="I31" s="63"/>
      <c r="J31" s="63"/>
    </row>
    <row r="32" spans="2:11" ht="16.5" customHeight="1">
      <c r="B32" s="58">
        <v>2</v>
      </c>
      <c r="C32" s="123" t="s">
        <v>241</v>
      </c>
      <c r="D32" s="59" t="s">
        <v>292</v>
      </c>
      <c r="E32" s="124">
        <v>30</v>
      </c>
      <c r="F32" s="125">
        <v>1</v>
      </c>
      <c r="G32" s="25">
        <f>IFERROR(VLOOKUP(C32,'🥬 식재료 DB'!$C$7:$H$121,6,0),"")</f>
        <v>4.95</v>
      </c>
      <c r="H32" s="62">
        <f t="shared" si="1"/>
        <v>148.5</v>
      </c>
      <c r="I32" s="126"/>
      <c r="J32" s="126"/>
    </row>
    <row r="33" spans="2:11" ht="16.5" customHeight="1">
      <c r="B33" s="58">
        <v>3</v>
      </c>
      <c r="C33" s="6" t="s">
        <v>411</v>
      </c>
      <c r="D33" s="59" t="s">
        <v>292</v>
      </c>
      <c r="E33" s="60">
        <v>250</v>
      </c>
      <c r="F33" s="61">
        <v>1</v>
      </c>
      <c r="G33" s="25" t="str">
        <f>IFERROR(VLOOKUP(C33,'🥬 식재료 DB'!$C$7:$H$121,6,0),"")</f>
        <v/>
      </c>
      <c r="H33" s="62" t="str">
        <f t="shared" si="1"/>
        <v/>
      </c>
      <c r="I33" s="63"/>
      <c r="J33" s="63"/>
    </row>
    <row r="34" spans="2:11" ht="16.5" customHeight="1">
      <c r="B34" s="58">
        <v>4</v>
      </c>
      <c r="C34" s="123" t="s">
        <v>168</v>
      </c>
      <c r="D34" s="59" t="s">
        <v>292</v>
      </c>
      <c r="E34" s="124">
        <v>3</v>
      </c>
      <c r="F34" s="125">
        <v>1</v>
      </c>
      <c r="G34" s="25">
        <f>IFERROR(VLOOKUP(C34,'🥬 식재료 DB'!$C$7:$H$121,6,0),"")</f>
        <v>1</v>
      </c>
      <c r="H34" s="62">
        <f t="shared" si="1"/>
        <v>3</v>
      </c>
      <c r="I34" s="126"/>
      <c r="J34" s="126"/>
    </row>
    <row r="35" spans="2:11" ht="16.5" customHeight="1">
      <c r="B35" s="58">
        <v>5</v>
      </c>
      <c r="C35" s="6" t="s">
        <v>163</v>
      </c>
      <c r="D35" s="59" t="s">
        <v>292</v>
      </c>
      <c r="E35" s="60">
        <v>1</v>
      </c>
      <c r="F35" s="61">
        <v>1</v>
      </c>
      <c r="G35" s="25">
        <f>IFERROR(VLOOKUP(C35,'🥬 식재료 DB'!$C$7:$H$121,6,0),"")</f>
        <v>22.5</v>
      </c>
      <c r="H35" s="62">
        <f t="shared" si="1"/>
        <v>22.5</v>
      </c>
      <c r="I35" s="63"/>
      <c r="J35" s="63"/>
    </row>
    <row r="36" spans="2:11" ht="16.5" customHeight="1">
      <c r="B36" s="58">
        <v>6</v>
      </c>
      <c r="C36" s="68"/>
      <c r="D36" s="59" t="s">
        <v>292</v>
      </c>
      <c r="E36" s="69"/>
      <c r="F36" s="70"/>
      <c r="G36" s="25" t="str">
        <f>IFERROR(VLOOKUP(C36,'🥬 식재료 DB'!$C$7:$H$121,6,0),"")</f>
        <v/>
      </c>
      <c r="H36" s="62" t="str">
        <f t="shared" si="1"/>
        <v/>
      </c>
      <c r="I36" s="126"/>
      <c r="J36" s="126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126"/>
      <c r="J38" s="126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126"/>
      <c r="J40" s="126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126"/>
      <c r="J42" s="126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8"/>
      <c r="D44" s="72" t="s">
        <v>295</v>
      </c>
      <c r="E44" s="69"/>
      <c r="F44" s="70"/>
      <c r="G44" s="73" t="str">
        <f>IFERROR(VLOOKUP(C44,'🧪 프렙 원가표'!$C$8:$D$18,2,0),IFERROR(VLOOKUP(C44,'🥬 식재료 DB'!$C$7:$H$121,6,0),""))</f>
        <v/>
      </c>
      <c r="H44" s="74" t="str">
        <f>IFERROR(IF(AND(C44&lt;&gt;"",ISNUMBER(E44),ISNUMBER(F44),F44&gt;0,ISNUMBER(G44)),E44/F44*G44,""),"")</f>
        <v/>
      </c>
      <c r="I44" s="63"/>
      <c r="J44" s="63"/>
    </row>
    <row r="45" spans="2:11" ht="16.5" customHeight="1">
      <c r="B45" s="71">
        <v>14</v>
      </c>
      <c r="C45" s="68"/>
      <c r="D45" s="72" t="s">
        <v>295</v>
      </c>
      <c r="E45" s="69"/>
      <c r="F45" s="70"/>
      <c r="G45" s="73" t="str">
        <f>IFERROR(VLOOKUP(C45,'🧪 프렙 원가표'!$C$8:$D$18,2,0),IFERROR(VLOOKUP(C45,'🥬 식재료 DB'!$C$7:$H$121,6,0),""))</f>
        <v/>
      </c>
      <c r="H45" s="74" t="str">
        <f>IFERROR(IF(AND(C45&lt;&gt;"",ISNUMBER(E45),ISNUMBER(F45),F45&gt;0,ISNUMBER(G45)),E45/F45*G45,""),"")</f>
        <v/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412</v>
      </c>
      <c r="D50" s="50"/>
      <c r="E50" s="52">
        <v>5000</v>
      </c>
      <c r="F50" s="53">
        <f>IFERROR(SUM(H52,H53,H54,H55,H56,H57,H58,H59,H60,H61,H62,H63,H65,H66,H67,H68,H69),0)</f>
        <v>251.75213675213678</v>
      </c>
      <c r="G50" s="54">
        <f>IFERROR(E50*'💰 고정비용 DB'!$D$22/'💰 고정비용 DB'!$D$25,0)</f>
        <v>3301.4853299004076</v>
      </c>
      <c r="H50" s="55">
        <f>IFERROR(G50-F50,"")</f>
        <v>3049.7331931482709</v>
      </c>
      <c r="I50" s="56">
        <f>IFERROR(H50/E50,"")</f>
        <v>0.60994663862965415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300</v>
      </c>
      <c r="D52" s="59" t="s">
        <v>292</v>
      </c>
      <c r="E52" s="60">
        <v>20</v>
      </c>
      <c r="F52" s="61">
        <v>1</v>
      </c>
      <c r="G52" s="25" t="str">
        <f>IFERROR(VLOOKUP(C52,'🥬 식재료 DB'!$C$7:$H$121,6,0),"")</f>
        <v/>
      </c>
      <c r="H52" s="62" t="str">
        <f t="shared" ref="H52:H63" si="2">IFERROR(IF(AND(C52&lt;&gt;"",ISNUMBER(E52),ISNUMBER(F52),F52&gt;0,ISNUMBER(G52)),E52/F52*G52,""),"")</f>
        <v/>
      </c>
      <c r="I52" s="63"/>
      <c r="J52" s="63"/>
    </row>
    <row r="53" spans="2:11" ht="16.5" customHeight="1">
      <c r="B53" s="58">
        <v>2</v>
      </c>
      <c r="C53" s="123" t="s">
        <v>345</v>
      </c>
      <c r="D53" s="59" t="s">
        <v>292</v>
      </c>
      <c r="E53" s="124">
        <v>30</v>
      </c>
      <c r="F53" s="125">
        <v>1</v>
      </c>
      <c r="G53" s="25" t="str">
        <f>IFERROR(VLOOKUP(C53,'🥬 식재료 DB'!$C$7:$H$121,6,0),"")</f>
        <v/>
      </c>
      <c r="H53" s="62" t="str">
        <f t="shared" si="2"/>
        <v/>
      </c>
      <c r="I53" s="126"/>
      <c r="J53" s="126"/>
    </row>
    <row r="54" spans="2:11" ht="16.5" customHeight="1">
      <c r="B54" s="58">
        <v>3</v>
      </c>
      <c r="C54" s="6" t="s">
        <v>236</v>
      </c>
      <c r="D54" s="59" t="s">
        <v>292</v>
      </c>
      <c r="E54" s="60">
        <v>10</v>
      </c>
      <c r="F54" s="61">
        <v>1</v>
      </c>
      <c r="G54" s="25">
        <f>IFERROR(VLOOKUP(C54,'🥬 식재료 DB'!$C$7:$H$121,6,0),"")</f>
        <v>14</v>
      </c>
      <c r="H54" s="62">
        <f t="shared" si="2"/>
        <v>140</v>
      </c>
      <c r="I54" s="63"/>
      <c r="J54" s="63"/>
    </row>
    <row r="55" spans="2:11" ht="16.5" customHeight="1">
      <c r="B55" s="58">
        <v>4</v>
      </c>
      <c r="C55" s="123" t="s">
        <v>222</v>
      </c>
      <c r="D55" s="59" t="s">
        <v>292</v>
      </c>
      <c r="E55" s="124">
        <v>10</v>
      </c>
      <c r="F55" s="125">
        <v>1</v>
      </c>
      <c r="G55" s="25">
        <f>IFERROR(VLOOKUP(C55,'🥬 식재료 DB'!$C$7:$H$121,6,0),"")</f>
        <v>3.2307692307692308</v>
      </c>
      <c r="H55" s="62">
        <f t="shared" si="2"/>
        <v>32.307692307692307</v>
      </c>
      <c r="I55" s="126"/>
      <c r="J55" s="126"/>
    </row>
    <row r="56" spans="2:11" ht="16.5" customHeight="1">
      <c r="B56" s="58">
        <v>5</v>
      </c>
      <c r="C56" s="6" t="s">
        <v>155</v>
      </c>
      <c r="D56" s="59" t="s">
        <v>292</v>
      </c>
      <c r="E56" s="60">
        <v>10</v>
      </c>
      <c r="F56" s="61">
        <v>1</v>
      </c>
      <c r="G56" s="25">
        <f>IFERROR(VLOOKUP(C56,'🥬 식재료 DB'!$C$7:$H$121,6,0),"")</f>
        <v>5</v>
      </c>
      <c r="H56" s="62">
        <f t="shared" si="2"/>
        <v>50</v>
      </c>
      <c r="I56" s="63"/>
      <c r="J56" s="63"/>
    </row>
    <row r="57" spans="2:11" ht="16.5" customHeight="1">
      <c r="B57" s="58">
        <v>6</v>
      </c>
      <c r="C57" s="123" t="s">
        <v>171</v>
      </c>
      <c r="D57" s="59" t="s">
        <v>292</v>
      </c>
      <c r="E57" s="124">
        <v>10</v>
      </c>
      <c r="F57" s="125">
        <v>1</v>
      </c>
      <c r="G57" s="25">
        <f>IFERROR(VLOOKUP(C57,'🥬 식재료 DB'!$C$7:$H$121,6,0),"")</f>
        <v>1.9444444444444444</v>
      </c>
      <c r="H57" s="62">
        <f t="shared" si="2"/>
        <v>19.444444444444443</v>
      </c>
      <c r="I57" s="126"/>
      <c r="J57" s="126"/>
    </row>
    <row r="58" spans="2:11" ht="16.5" customHeight="1">
      <c r="B58" s="58">
        <v>7</v>
      </c>
      <c r="C58" s="6" t="s">
        <v>168</v>
      </c>
      <c r="D58" s="59" t="s">
        <v>292</v>
      </c>
      <c r="E58" s="60">
        <v>10</v>
      </c>
      <c r="F58" s="61">
        <v>1</v>
      </c>
      <c r="G58" s="25">
        <f>IFERROR(VLOOKUP(C58,'🥬 식재료 DB'!$C$7:$H$121,6,0),"")</f>
        <v>1</v>
      </c>
      <c r="H58" s="62">
        <f t="shared" si="2"/>
        <v>10</v>
      </c>
      <c r="I58" s="63"/>
      <c r="J58" s="63"/>
    </row>
    <row r="59" spans="2:11" ht="16.5" customHeight="1">
      <c r="B59" s="58">
        <v>8</v>
      </c>
      <c r="C59" s="123" t="s">
        <v>413</v>
      </c>
      <c r="D59" s="59" t="s">
        <v>292</v>
      </c>
      <c r="E59" s="124">
        <v>300</v>
      </c>
      <c r="F59" s="125">
        <v>1</v>
      </c>
      <c r="G59" s="25" t="str">
        <f>IFERROR(VLOOKUP(C59,'🥬 식재료 DB'!$C$7:$H$121,6,0),"")</f>
        <v/>
      </c>
      <c r="H59" s="62" t="str">
        <f t="shared" si="2"/>
        <v/>
      </c>
      <c r="I59" s="126"/>
      <c r="J59" s="126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126"/>
      <c r="J61" s="126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126"/>
      <c r="J63" s="126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8"/>
      <c r="D65" s="72" t="s">
        <v>295</v>
      </c>
      <c r="E65" s="69"/>
      <c r="F65" s="70"/>
      <c r="G65" s="73" t="str">
        <f>IFERROR(VLOOKUP(C65,'🧪 프렙 원가표'!$C$8:$D$18,2,0),IFERROR(VLOOKUP(C65,'🥬 식재료 DB'!$C$7:$H$121,6,0),""))</f>
        <v/>
      </c>
      <c r="H65" s="74" t="str">
        <f>IFERROR(IF(AND(C65&lt;&gt;"",ISNUMBER(E65),ISNUMBER(F65),F65&gt;0,ISNUMBER(G65)),E65/F65*G65,""),"")</f>
        <v/>
      </c>
      <c r="I65" s="63"/>
      <c r="J65" s="63"/>
    </row>
    <row r="66" spans="2:11" ht="16.5" customHeight="1">
      <c r="B66" s="71">
        <v>14</v>
      </c>
      <c r="C66" s="68"/>
      <c r="D66" s="72" t="s">
        <v>295</v>
      </c>
      <c r="E66" s="69"/>
      <c r="F66" s="70"/>
      <c r="G66" s="73" t="str">
        <f>IFERROR(VLOOKUP(C66,'🧪 프렙 원가표'!$C$8:$D$18,2,0),IFERROR(VLOOKUP(C66,'🥬 식재료 DB'!$C$7:$H$121,6,0),""))</f>
        <v/>
      </c>
      <c r="H66" s="74" t="str">
        <f>IFERROR(IF(AND(C66&lt;&gt;"",ISNUMBER(E66),ISNUMBER(F66),F66&gt;0,ISNUMBER(G66)),E66/F66*G66,""),"")</f>
        <v/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414</v>
      </c>
      <c r="D71" s="50"/>
      <c r="E71" s="52">
        <v>19000</v>
      </c>
      <c r="F71" s="53">
        <f>IFERROR(SUM(H73,H74,H75,H76,H77,H78,H79,H80,H81,H82,H83,H84,H85,H86,H87,H89,H90,H91,H92,H93),0)</f>
        <v>1112.6398518751971</v>
      </c>
      <c r="G71" s="54">
        <f>IFERROR(E71*'💰 고정비용 DB'!$D$22/'💰 고정비용 DB'!$D$25,0)</f>
        <v>12545.644253621549</v>
      </c>
      <c r="H71" s="55">
        <f>IFERROR(G71-F71,"")</f>
        <v>11433.004401746352</v>
      </c>
      <c r="I71" s="56">
        <f>IFERROR(H71/E71,"")</f>
        <v>0.60173707377612373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316</v>
      </c>
      <c r="D73" s="59" t="s">
        <v>292</v>
      </c>
      <c r="E73" s="60">
        <v>150</v>
      </c>
      <c r="F73" s="61">
        <v>1</v>
      </c>
      <c r="G73" s="25" t="str">
        <f>IFERROR(VLOOKUP(C73,'🥬 식재료 DB'!$C$7:$H$121,6,0),"")</f>
        <v/>
      </c>
      <c r="H73" s="62" t="str">
        <f t="shared" ref="H73:H87" si="3">IFERROR(IF(AND(C73&lt;&gt;"",ISNUMBER(E73),ISNUMBER(F73),F73&gt;0,ISNUMBER(G73)),E73/F73*G73,""),"")</f>
        <v/>
      </c>
      <c r="I73" s="63"/>
      <c r="J73" s="63"/>
    </row>
    <row r="74" spans="2:11" ht="16.5" customHeight="1">
      <c r="B74" s="58">
        <v>2</v>
      </c>
      <c r="C74" s="123" t="s">
        <v>245</v>
      </c>
      <c r="D74" s="59" t="s">
        <v>292</v>
      </c>
      <c r="E74" s="124">
        <v>40</v>
      </c>
      <c r="F74" s="125">
        <v>1</v>
      </c>
      <c r="G74" s="25">
        <f>IFERROR(VLOOKUP(C74,'🥬 식재료 DB'!$C$7:$H$121,6,0),"")</f>
        <v>5</v>
      </c>
      <c r="H74" s="62">
        <f t="shared" si="3"/>
        <v>200</v>
      </c>
      <c r="I74" s="126"/>
      <c r="J74" s="126"/>
    </row>
    <row r="75" spans="2:11" ht="16.5" customHeight="1">
      <c r="B75" s="58">
        <v>3</v>
      </c>
      <c r="C75" s="6" t="s">
        <v>218</v>
      </c>
      <c r="D75" s="59" t="s">
        <v>292</v>
      </c>
      <c r="E75" s="60">
        <v>40</v>
      </c>
      <c r="F75" s="61">
        <v>1</v>
      </c>
      <c r="G75" s="25">
        <f>IFERROR(VLOOKUP(C75,'🥬 식재료 DB'!$C$7:$H$121,6,0),"")</f>
        <v>6.666666666666667</v>
      </c>
      <c r="H75" s="62">
        <f t="shared" si="3"/>
        <v>266.66666666666669</v>
      </c>
      <c r="I75" s="63"/>
      <c r="J75" s="63"/>
    </row>
    <row r="76" spans="2:11" ht="16.5" customHeight="1">
      <c r="B76" s="58">
        <v>4</v>
      </c>
      <c r="C76" s="123" t="s">
        <v>227</v>
      </c>
      <c r="D76" s="59" t="s">
        <v>292</v>
      </c>
      <c r="E76" s="124">
        <v>20</v>
      </c>
      <c r="F76" s="125">
        <v>1</v>
      </c>
      <c r="G76" s="25">
        <f>IFERROR(VLOOKUP(C76,'🥬 식재료 DB'!$C$7:$H$121,6,0),"")</f>
        <v>6</v>
      </c>
      <c r="H76" s="62">
        <f t="shared" si="3"/>
        <v>120</v>
      </c>
      <c r="I76" s="126"/>
      <c r="J76" s="126"/>
    </row>
    <row r="77" spans="2:11" ht="16.5" customHeight="1">
      <c r="B77" s="58">
        <v>5</v>
      </c>
      <c r="C77" s="6" t="s">
        <v>415</v>
      </c>
      <c r="D77" s="59" t="s">
        <v>292</v>
      </c>
      <c r="E77" s="60">
        <v>20</v>
      </c>
      <c r="F77" s="61">
        <v>1</v>
      </c>
      <c r="G77" s="25" t="str">
        <f>IFERROR(VLOOKUP(C77,'🥬 식재료 DB'!$C$7:$H$121,6,0),"")</f>
        <v/>
      </c>
      <c r="H77" s="62" t="str">
        <f t="shared" si="3"/>
        <v/>
      </c>
      <c r="I77" s="63"/>
      <c r="J77" s="63"/>
    </row>
    <row r="78" spans="2:11" ht="16.5" customHeight="1">
      <c r="B78" s="58">
        <v>6</v>
      </c>
      <c r="C78" s="123" t="s">
        <v>233</v>
      </c>
      <c r="D78" s="59" t="s">
        <v>292</v>
      </c>
      <c r="E78" s="124">
        <v>10</v>
      </c>
      <c r="F78" s="125">
        <v>1</v>
      </c>
      <c r="G78" s="25">
        <f>IFERROR(VLOOKUP(C78,'🥬 식재료 DB'!$C$7:$H$121,6,0),"")</f>
        <v>4.1916167664670656</v>
      </c>
      <c r="H78" s="62">
        <f t="shared" si="3"/>
        <v>41.916167664670652</v>
      </c>
      <c r="I78" s="126"/>
      <c r="J78" s="126"/>
    </row>
    <row r="79" spans="2:11" ht="16.5" customHeight="1">
      <c r="B79" s="58">
        <v>7</v>
      </c>
      <c r="C79" s="6" t="s">
        <v>206</v>
      </c>
      <c r="D79" s="59" t="s">
        <v>292</v>
      </c>
      <c r="E79" s="60">
        <v>5</v>
      </c>
      <c r="F79" s="61">
        <v>1</v>
      </c>
      <c r="G79" s="25">
        <f>IFERROR(VLOOKUP(C79,'🥬 식재료 DB'!$C$7:$H$121,6,0),"")</f>
        <v>12.894736842105264</v>
      </c>
      <c r="H79" s="62">
        <f t="shared" si="3"/>
        <v>64.473684210526315</v>
      </c>
      <c r="I79" s="63"/>
      <c r="J79" s="63"/>
    </row>
    <row r="80" spans="2:11" ht="16.5" customHeight="1">
      <c r="B80" s="58">
        <v>8</v>
      </c>
      <c r="C80" s="123" t="s">
        <v>160</v>
      </c>
      <c r="D80" s="59" t="s">
        <v>292</v>
      </c>
      <c r="E80" s="124">
        <v>20</v>
      </c>
      <c r="F80" s="125">
        <v>1</v>
      </c>
      <c r="G80" s="25">
        <f>IFERROR(VLOOKUP(C80,'🥬 식재료 DB'!$C$7:$H$121,6,0),"")</f>
        <v>6</v>
      </c>
      <c r="H80" s="62">
        <f t="shared" si="3"/>
        <v>120</v>
      </c>
      <c r="I80" s="126"/>
      <c r="J80" s="126"/>
    </row>
    <row r="81" spans="2:11" ht="16.5" customHeight="1">
      <c r="B81" s="58">
        <v>9</v>
      </c>
      <c r="C81" s="6" t="s">
        <v>360</v>
      </c>
      <c r="D81" s="59" t="s">
        <v>292</v>
      </c>
      <c r="E81" s="60">
        <v>5</v>
      </c>
      <c r="F81" s="61">
        <v>1</v>
      </c>
      <c r="G81" s="25" t="str">
        <f>IFERROR(VLOOKUP(C81,'🥬 식재료 DB'!$C$7:$H$121,6,0),"")</f>
        <v/>
      </c>
      <c r="H81" s="62" t="str">
        <f t="shared" si="3"/>
        <v/>
      </c>
      <c r="I81" s="63"/>
      <c r="J81" s="63"/>
    </row>
    <row r="82" spans="2:11" ht="16.5" customHeight="1">
      <c r="B82" s="58">
        <v>10</v>
      </c>
      <c r="C82" s="127" t="s">
        <v>174</v>
      </c>
      <c r="D82" s="59" t="s">
        <v>292</v>
      </c>
      <c r="E82" s="124">
        <v>5</v>
      </c>
      <c r="F82" s="125">
        <v>1</v>
      </c>
      <c r="G82" s="25">
        <f>IFERROR(VLOOKUP(C82,'🥬 식재료 DB'!$C$7:$H$121,6,0),"")</f>
        <v>22.5</v>
      </c>
      <c r="H82" s="62">
        <f t="shared" si="3"/>
        <v>112.5</v>
      </c>
      <c r="I82" s="126"/>
      <c r="J82" s="126"/>
    </row>
    <row r="83" spans="2:11" ht="16.5" customHeight="1">
      <c r="B83" s="58">
        <v>11</v>
      </c>
      <c r="C83" s="6" t="s">
        <v>215</v>
      </c>
      <c r="D83" s="59" t="s">
        <v>292</v>
      </c>
      <c r="E83" s="60">
        <v>20</v>
      </c>
      <c r="F83" s="61">
        <v>1</v>
      </c>
      <c r="G83" s="25">
        <f>IFERROR(VLOOKUP(C83,'🥬 식재료 DB'!$C$7:$H$121,6,0),"")</f>
        <v>4.25</v>
      </c>
      <c r="H83" s="62">
        <f t="shared" si="3"/>
        <v>85</v>
      </c>
      <c r="I83" s="63"/>
      <c r="J83" s="63"/>
    </row>
    <row r="84" spans="2:11" ht="16.5" customHeight="1">
      <c r="B84" s="58">
        <v>12</v>
      </c>
      <c r="C84" s="123" t="s">
        <v>152</v>
      </c>
      <c r="D84" s="59" t="s">
        <v>292</v>
      </c>
      <c r="E84" s="124">
        <v>5</v>
      </c>
      <c r="F84" s="125">
        <v>1</v>
      </c>
      <c r="G84" s="25">
        <f>IFERROR(VLOOKUP(C84,'🥬 식재료 DB'!$C$7:$H$121,6,0),"")</f>
        <v>2.4166666666666665</v>
      </c>
      <c r="H84" s="62">
        <f t="shared" si="3"/>
        <v>12.083333333333332</v>
      </c>
      <c r="I84" s="126"/>
      <c r="J84" s="126"/>
    </row>
    <row r="85" spans="2:11" ht="16.5" customHeight="1">
      <c r="B85" s="58">
        <v>13</v>
      </c>
      <c r="C85" s="6" t="s">
        <v>195</v>
      </c>
      <c r="D85" s="59" t="s">
        <v>292</v>
      </c>
      <c r="E85" s="60">
        <v>10</v>
      </c>
      <c r="F85" s="61">
        <v>1</v>
      </c>
      <c r="G85" s="25">
        <f>IFERROR(VLOOKUP(C85,'🥬 식재료 DB'!$C$7:$H$121,6,0),"")</f>
        <v>9</v>
      </c>
      <c r="H85" s="62">
        <f t="shared" si="3"/>
        <v>90</v>
      </c>
      <c r="I85" s="63"/>
      <c r="J85" s="63"/>
    </row>
    <row r="86" spans="2:11" ht="16.5" customHeight="1">
      <c r="B86" s="58">
        <v>14</v>
      </c>
      <c r="C86" s="68"/>
      <c r="D86" s="59" t="s">
        <v>292</v>
      </c>
      <c r="E86" s="69"/>
      <c r="F86" s="70"/>
      <c r="G86" s="25" t="str">
        <f>IFERROR(VLOOKUP(C86,'🥬 식재료 DB'!$C$7:$H$121,6,0),"")</f>
        <v/>
      </c>
      <c r="H86" s="62" t="str">
        <f t="shared" si="3"/>
        <v/>
      </c>
      <c r="I86" s="126"/>
      <c r="J86" s="126"/>
    </row>
    <row r="87" spans="2:11" ht="16.5" customHeight="1">
      <c r="B87" s="58">
        <v>15</v>
      </c>
      <c r="C87" s="68"/>
      <c r="D87" s="59" t="s">
        <v>292</v>
      </c>
      <c r="E87" s="69"/>
      <c r="F87" s="70"/>
      <c r="G87" s="25" t="str">
        <f>IFERROR(VLOOKUP(C87,'🥬 식재료 DB'!$C$7:$H$121,6,0),"")</f>
        <v/>
      </c>
      <c r="H87" s="62" t="str">
        <f t="shared" si="3"/>
        <v/>
      </c>
      <c r="I87" s="63"/>
      <c r="J87" s="63"/>
    </row>
    <row r="88" spans="2:11" ht="12.75" customHeight="1">
      <c r="B88" s="203" t="s">
        <v>293</v>
      </c>
      <c r="C88" s="203"/>
      <c r="D88" s="203"/>
      <c r="E88" s="203"/>
      <c r="F88" s="203"/>
      <c r="G88" s="203"/>
      <c r="H88" s="203"/>
      <c r="I88" s="203"/>
      <c r="J88" s="203"/>
      <c r="K88" s="203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63"/>
      <c r="J89" s="63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77"/>
      <c r="J90" s="77"/>
    </row>
    <row r="91" spans="2:11" ht="16.5" customHeight="1">
      <c r="B91" s="71">
        <v>18</v>
      </c>
      <c r="C91" s="68"/>
      <c r="D91" s="72" t="s">
        <v>295</v>
      </c>
      <c r="E91" s="69"/>
      <c r="F91" s="70"/>
      <c r="G91" s="73" t="str">
        <f>IFERROR(VLOOKUP(C91,'🧪 프렙 원가표'!$C$8:$D$18,2,0),IFERROR(VLOOKUP(C91,'🥬 식재료 DB'!$C$7:$H$121,6,0),""))</f>
        <v/>
      </c>
      <c r="H91" s="74" t="str">
        <f>IFERROR(IF(AND(C91&lt;&gt;"",ISNUMBER(E91),ISNUMBER(F91),F91&gt;0,ISNUMBER(G91)),E91/F91*G91,""),"")</f>
        <v/>
      </c>
      <c r="I91" s="63"/>
      <c r="J91" s="63"/>
    </row>
    <row r="92" spans="2:11" ht="16.5" customHeight="1">
      <c r="B92" s="71">
        <v>19</v>
      </c>
      <c r="C92" s="68"/>
      <c r="D92" s="72" t="s">
        <v>295</v>
      </c>
      <c r="E92" s="69"/>
      <c r="F92" s="70"/>
      <c r="G92" s="73" t="str">
        <f>IFERROR(VLOOKUP(C92,'🧪 프렙 원가표'!$C$8:$D$18,2,0),IFERROR(VLOOKUP(C92,'🥬 식재료 DB'!$C$7:$H$121,6,0),""))</f>
        <v/>
      </c>
      <c r="H92" s="74" t="str">
        <f>IFERROR(IF(AND(C92&lt;&gt;"",ISNUMBER(E92),ISNUMBER(F92),F92&gt;0,ISNUMBER(G92)),E92/F92*G92,""),"")</f>
        <v/>
      </c>
      <c r="I92" s="77"/>
      <c r="J92" s="77"/>
    </row>
    <row r="93" spans="2:11" ht="16.5" customHeight="1">
      <c r="B93" s="71">
        <v>20</v>
      </c>
      <c r="C93" s="68"/>
      <c r="D93" s="72" t="s">
        <v>295</v>
      </c>
      <c r="E93" s="69"/>
      <c r="F93" s="70"/>
      <c r="G93" s="73" t="str">
        <f>IFERROR(VLOOKUP(C93,'🧪 프렙 원가표'!$C$8:$D$18,2,0),IFERROR(VLOOKUP(C93,'🥬 식재료 DB'!$C$7:$H$121,6,0),""))</f>
        <v/>
      </c>
      <c r="H93" s="74" t="str">
        <f>IFERROR(IF(AND(C93&lt;&gt;"",ISNUMBER(E93),ISNUMBER(F93),F93&gt;0,ISNUMBER(G93)),E93/F93*G93,""),"")</f>
        <v/>
      </c>
      <c r="I93" s="63"/>
      <c r="J93" s="63"/>
    </row>
    <row r="94" spans="2:11" ht="3.75" customHeight="1">
      <c r="B94" s="78"/>
      <c r="C94" s="78"/>
      <c r="D94" s="78"/>
      <c r="E94" s="78"/>
      <c r="F94" s="78"/>
      <c r="G94" s="78"/>
      <c r="H94" s="78"/>
      <c r="I94" s="78"/>
      <c r="J94" s="78"/>
      <c r="K94" s="78"/>
    </row>
    <row r="95" spans="2:11" ht="27" customHeight="1">
      <c r="B95" s="50"/>
      <c r="C95" s="51" t="s">
        <v>416</v>
      </c>
      <c r="D95" s="50"/>
      <c r="E95" s="52">
        <v>8000</v>
      </c>
      <c r="F95" s="53">
        <f>IFERROR(SUM(H97,H98,H99,H100,H101,H102,H103,H104,H105,H106,H107,H108,H110,H111,H112,H113,H114),0)</f>
        <v>1118.3333333333335</v>
      </c>
      <c r="G95" s="54">
        <f>IFERROR(E95*'💰 고정비용 DB'!$D$22/'💰 고정비용 DB'!$D$25,0)</f>
        <v>5282.3765278406518</v>
      </c>
      <c r="H95" s="55">
        <f>IFERROR(G95-F95,"")</f>
        <v>4164.0431945073178</v>
      </c>
      <c r="I95" s="56">
        <f>IFERROR(H95/E95,"")</f>
        <v>0.52050539931341477</v>
      </c>
      <c r="J95" s="57" t="str">
        <f>IF(I95="","⬜ 미입력",IF(I95&lt;=0.2,"✅ 양호",IF(I95&lt;=0.32,"🟡 주의","🔴 과다")))</f>
        <v>🔴 과다</v>
      </c>
      <c r="K95" s="50"/>
    </row>
    <row r="96" spans="2:11" ht="12.75" customHeight="1">
      <c r="B96" s="204" t="s">
        <v>291</v>
      </c>
      <c r="C96" s="204"/>
      <c r="D96" s="204"/>
      <c r="E96" s="204"/>
      <c r="F96" s="204"/>
      <c r="G96" s="204"/>
      <c r="H96" s="204"/>
      <c r="I96" s="204"/>
      <c r="J96" s="204"/>
      <c r="K96" s="204"/>
    </row>
    <row r="97" spans="2:11" ht="16.5" customHeight="1">
      <c r="B97" s="58">
        <v>1</v>
      </c>
      <c r="C97" s="6" t="s">
        <v>218</v>
      </c>
      <c r="D97" s="59" t="s">
        <v>292</v>
      </c>
      <c r="E97" s="60">
        <v>50</v>
      </c>
      <c r="F97" s="61">
        <v>1</v>
      </c>
      <c r="G97" s="25">
        <f>IFERROR(VLOOKUP(C97,'🥬 식재료 DB'!$C$7:$H$121,6,0),"")</f>
        <v>6.666666666666667</v>
      </c>
      <c r="H97" s="62">
        <f t="shared" ref="H97:H108" si="4">IFERROR(IF(AND(C97&lt;&gt;"",ISNUMBER(E97),ISNUMBER(F97),F97&gt;0,ISNUMBER(G97)),E97/F97*G97,""),"")</f>
        <v>333.33333333333337</v>
      </c>
      <c r="I97" s="63"/>
      <c r="J97" s="63"/>
    </row>
    <row r="98" spans="2:11" ht="16.5" customHeight="1">
      <c r="B98" s="58">
        <v>2</v>
      </c>
      <c r="C98" s="123" t="s">
        <v>245</v>
      </c>
      <c r="D98" s="59" t="s">
        <v>292</v>
      </c>
      <c r="E98" s="124">
        <v>50</v>
      </c>
      <c r="F98" s="125">
        <v>1</v>
      </c>
      <c r="G98" s="25">
        <f>IFERROR(VLOOKUP(C98,'🥬 식재료 DB'!$C$7:$H$121,6,0),"")</f>
        <v>5</v>
      </c>
      <c r="H98" s="62">
        <f t="shared" si="4"/>
        <v>250</v>
      </c>
      <c r="I98" s="126"/>
      <c r="J98" s="126"/>
    </row>
    <row r="99" spans="2:11" ht="16.5" customHeight="1">
      <c r="B99" s="58">
        <v>3</v>
      </c>
      <c r="C99" s="6" t="s">
        <v>227</v>
      </c>
      <c r="D99" s="59" t="s">
        <v>292</v>
      </c>
      <c r="E99" s="60">
        <v>30</v>
      </c>
      <c r="F99" s="61">
        <v>1</v>
      </c>
      <c r="G99" s="25">
        <f>IFERROR(VLOOKUP(C99,'🥬 식재료 DB'!$C$7:$H$121,6,0),"")</f>
        <v>6</v>
      </c>
      <c r="H99" s="62">
        <f t="shared" si="4"/>
        <v>180</v>
      </c>
      <c r="I99" s="63"/>
      <c r="J99" s="63"/>
    </row>
    <row r="100" spans="2:11" ht="16.5" customHeight="1">
      <c r="B100" s="58">
        <v>4</v>
      </c>
      <c r="C100" s="123" t="s">
        <v>244</v>
      </c>
      <c r="D100" s="59" t="s">
        <v>292</v>
      </c>
      <c r="E100" s="124">
        <v>10</v>
      </c>
      <c r="F100" s="125">
        <v>1</v>
      </c>
      <c r="G100" s="25">
        <f>IFERROR(VLOOKUP(C100,'🥬 식재료 DB'!$C$7:$H$121,6,0),"")</f>
        <v>5.5</v>
      </c>
      <c r="H100" s="62">
        <f t="shared" si="4"/>
        <v>55</v>
      </c>
      <c r="I100" s="126"/>
      <c r="J100" s="126"/>
    </row>
    <row r="101" spans="2:11" ht="16.5" customHeight="1">
      <c r="B101" s="58">
        <v>5</v>
      </c>
      <c r="C101" s="6" t="s">
        <v>160</v>
      </c>
      <c r="D101" s="59" t="s">
        <v>292</v>
      </c>
      <c r="E101" s="60">
        <v>50</v>
      </c>
      <c r="F101" s="61">
        <v>1</v>
      </c>
      <c r="G101" s="25">
        <f>IFERROR(VLOOKUP(C101,'🥬 식재료 DB'!$C$7:$H$121,6,0),"")</f>
        <v>6</v>
      </c>
      <c r="H101" s="62">
        <f t="shared" si="4"/>
        <v>300</v>
      </c>
      <c r="I101" s="63"/>
      <c r="J101" s="63"/>
    </row>
    <row r="102" spans="2:11" ht="16.5" customHeight="1">
      <c r="B102" s="58">
        <v>6</v>
      </c>
      <c r="C102" s="68"/>
      <c r="D102" s="59" t="s">
        <v>292</v>
      </c>
      <c r="E102" s="69"/>
      <c r="F102" s="70"/>
      <c r="G102" s="25" t="str">
        <f>IFERROR(VLOOKUP(C102,'🥬 식재료 DB'!$C$7:$H$121,6,0),"")</f>
        <v/>
      </c>
      <c r="H102" s="62" t="str">
        <f t="shared" si="4"/>
        <v/>
      </c>
      <c r="I102" s="126"/>
      <c r="J102" s="126"/>
    </row>
    <row r="103" spans="2:11" ht="16.5" customHeight="1">
      <c r="B103" s="58">
        <v>7</v>
      </c>
      <c r="C103" s="68"/>
      <c r="D103" s="59" t="s">
        <v>292</v>
      </c>
      <c r="E103" s="69"/>
      <c r="F103" s="70"/>
      <c r="G103" s="25" t="str">
        <f>IFERROR(VLOOKUP(C103,'🥬 식재료 DB'!$C$7:$H$121,6,0),"")</f>
        <v/>
      </c>
      <c r="H103" s="62" t="str">
        <f t="shared" si="4"/>
        <v/>
      </c>
      <c r="I103" s="63"/>
      <c r="J103" s="63"/>
    </row>
    <row r="104" spans="2:11" ht="16.5" customHeight="1">
      <c r="B104" s="58">
        <v>8</v>
      </c>
      <c r="C104" s="68"/>
      <c r="D104" s="59" t="s">
        <v>292</v>
      </c>
      <c r="E104" s="69"/>
      <c r="F104" s="70"/>
      <c r="G104" s="25" t="str">
        <f>IFERROR(VLOOKUP(C104,'🥬 식재료 DB'!$C$7:$H$121,6,0),"")</f>
        <v/>
      </c>
      <c r="H104" s="62" t="str">
        <f t="shared" si="4"/>
        <v/>
      </c>
      <c r="I104" s="126"/>
      <c r="J104" s="126"/>
    </row>
    <row r="105" spans="2:11" ht="16.5" customHeight="1">
      <c r="B105" s="58">
        <v>9</v>
      </c>
      <c r="C105" s="68"/>
      <c r="D105" s="59" t="s">
        <v>292</v>
      </c>
      <c r="E105" s="69"/>
      <c r="F105" s="70"/>
      <c r="G105" s="25" t="str">
        <f>IFERROR(VLOOKUP(C105,'🥬 식재료 DB'!$C$7:$H$121,6,0),"")</f>
        <v/>
      </c>
      <c r="H105" s="62" t="str">
        <f t="shared" si="4"/>
        <v/>
      </c>
      <c r="I105" s="63"/>
      <c r="J105" s="63"/>
    </row>
    <row r="106" spans="2:11" ht="16.5" customHeight="1">
      <c r="B106" s="58">
        <v>10</v>
      </c>
      <c r="C106" s="68"/>
      <c r="D106" s="59" t="s">
        <v>292</v>
      </c>
      <c r="E106" s="69"/>
      <c r="F106" s="70"/>
      <c r="G106" s="25" t="str">
        <f>IFERROR(VLOOKUP(C106,'🥬 식재료 DB'!$C$7:$H$121,6,0),"")</f>
        <v/>
      </c>
      <c r="H106" s="62" t="str">
        <f t="shared" si="4"/>
        <v/>
      </c>
      <c r="I106" s="126"/>
      <c r="J106" s="126"/>
    </row>
    <row r="107" spans="2:11" ht="16.5" customHeight="1">
      <c r="B107" s="58">
        <v>11</v>
      </c>
      <c r="C107" s="68"/>
      <c r="D107" s="59" t="s">
        <v>292</v>
      </c>
      <c r="E107" s="69"/>
      <c r="F107" s="70"/>
      <c r="G107" s="25" t="str">
        <f>IFERROR(VLOOKUP(C107,'🥬 식재료 DB'!$C$7:$H$121,6,0),"")</f>
        <v/>
      </c>
      <c r="H107" s="62" t="str">
        <f t="shared" si="4"/>
        <v/>
      </c>
      <c r="I107" s="63"/>
      <c r="J107" s="63"/>
    </row>
    <row r="108" spans="2:11" ht="16.5" customHeight="1">
      <c r="B108" s="58">
        <v>12</v>
      </c>
      <c r="C108" s="68"/>
      <c r="D108" s="59" t="s">
        <v>292</v>
      </c>
      <c r="E108" s="69"/>
      <c r="F108" s="70"/>
      <c r="G108" s="25" t="str">
        <f>IFERROR(VLOOKUP(C108,'🥬 식재료 DB'!$C$7:$H$121,6,0),"")</f>
        <v/>
      </c>
      <c r="H108" s="62" t="str">
        <f t="shared" si="4"/>
        <v/>
      </c>
      <c r="I108" s="126"/>
      <c r="J108" s="126"/>
    </row>
    <row r="109" spans="2:11" ht="12.75" customHeight="1">
      <c r="B109" s="203" t="s">
        <v>293</v>
      </c>
      <c r="C109" s="203"/>
      <c r="D109" s="203"/>
      <c r="E109" s="203"/>
      <c r="F109" s="203"/>
      <c r="G109" s="203"/>
      <c r="H109" s="203"/>
      <c r="I109" s="203"/>
      <c r="J109" s="203"/>
      <c r="K109" s="203"/>
    </row>
    <row r="110" spans="2:11" ht="16.5" customHeight="1">
      <c r="B110" s="71">
        <v>13</v>
      </c>
      <c r="C110" s="68"/>
      <c r="D110" s="72" t="s">
        <v>295</v>
      </c>
      <c r="E110" s="69"/>
      <c r="F110" s="70"/>
      <c r="G110" s="73" t="str">
        <f>IFERROR(VLOOKUP(C110,'🧪 프렙 원가표'!$C$8:$D$18,2,0),IFERROR(VLOOKUP(C110,'🥬 식재료 DB'!$C$7:$H$121,6,0),""))</f>
        <v/>
      </c>
      <c r="H110" s="74" t="str">
        <f>IFERROR(IF(AND(C110&lt;&gt;"",ISNUMBER(E110),ISNUMBER(F110),F110&gt;0,ISNUMBER(G110)),E110/F110*G110,""),"")</f>
        <v/>
      </c>
      <c r="I110" s="63"/>
      <c r="J110" s="63"/>
    </row>
    <row r="111" spans="2:11" ht="16.5" customHeight="1">
      <c r="B111" s="71">
        <v>14</v>
      </c>
      <c r="C111" s="68"/>
      <c r="D111" s="72" t="s">
        <v>295</v>
      </c>
      <c r="E111" s="69"/>
      <c r="F111" s="70"/>
      <c r="G111" s="73" t="str">
        <f>IFERROR(VLOOKUP(C111,'🧪 프렙 원가표'!$C$8:$D$18,2,0),IFERROR(VLOOKUP(C111,'🥬 식재료 DB'!$C$7:$H$121,6,0),""))</f>
        <v/>
      </c>
      <c r="H111" s="74" t="str">
        <f>IFERROR(IF(AND(C111&lt;&gt;"",ISNUMBER(E111),ISNUMBER(F111),F111&gt;0,ISNUMBER(G111)),E111/F111*G111,""),"")</f>
        <v/>
      </c>
      <c r="I111" s="77"/>
      <c r="J111" s="77"/>
    </row>
    <row r="112" spans="2:11" ht="16.5" customHeight="1">
      <c r="B112" s="71">
        <v>15</v>
      </c>
      <c r="C112" s="68"/>
      <c r="D112" s="72" t="s">
        <v>295</v>
      </c>
      <c r="E112" s="69"/>
      <c r="F112" s="70"/>
      <c r="G112" s="73" t="str">
        <f>IFERROR(VLOOKUP(C112,'🧪 프렙 원가표'!$C$8:$D$18,2,0),IFERROR(VLOOKUP(C112,'🥬 식재료 DB'!$C$7:$H$121,6,0),""))</f>
        <v/>
      </c>
      <c r="H112" s="74" t="str">
        <f>IFERROR(IF(AND(C112&lt;&gt;"",ISNUMBER(E112),ISNUMBER(F112),F112&gt;0,ISNUMBER(G112)),E112/F112*G112,""),"")</f>
        <v/>
      </c>
      <c r="I112" s="63"/>
      <c r="J112" s="63"/>
    </row>
    <row r="113" spans="2:11" ht="16.5" customHeight="1">
      <c r="B113" s="71">
        <v>16</v>
      </c>
      <c r="C113" s="68"/>
      <c r="D113" s="72" t="s">
        <v>295</v>
      </c>
      <c r="E113" s="69"/>
      <c r="F113" s="70"/>
      <c r="G113" s="73" t="str">
        <f>IFERROR(VLOOKUP(C113,'🧪 프렙 원가표'!$C$8:$D$18,2,0),IFERROR(VLOOKUP(C113,'🥬 식재료 DB'!$C$7:$H$121,6,0),""))</f>
        <v/>
      </c>
      <c r="H113" s="74" t="str">
        <f>IFERROR(IF(AND(C113&lt;&gt;"",ISNUMBER(E113),ISNUMBER(F113),F113&gt;0,ISNUMBER(G113)),E113/F113*G113,""),"")</f>
        <v/>
      </c>
      <c r="I113" s="77"/>
      <c r="J113" s="77"/>
    </row>
    <row r="114" spans="2:11" ht="16.5" customHeight="1">
      <c r="B114" s="71">
        <v>17</v>
      </c>
      <c r="C114" s="68"/>
      <c r="D114" s="72" t="s">
        <v>295</v>
      </c>
      <c r="E114" s="69"/>
      <c r="F114" s="70"/>
      <c r="G114" s="73" t="str">
        <f>IFERROR(VLOOKUP(C114,'🧪 프렙 원가표'!$C$8:$D$18,2,0),IFERROR(VLOOKUP(C114,'🥬 식재료 DB'!$C$7:$H$121,6,0),""))</f>
        <v/>
      </c>
      <c r="H114" s="74" t="str">
        <f>IFERROR(IF(AND(C114&lt;&gt;"",ISNUMBER(E114),ISNUMBER(F114),F114&gt;0,ISNUMBER(G114)),E114/F114*G114,""),"")</f>
        <v/>
      </c>
      <c r="I114" s="63"/>
      <c r="J114" s="63"/>
    </row>
    <row r="115" spans="2:11" ht="3.75" customHeight="1">
      <c r="B115" s="78"/>
      <c r="C115" s="78"/>
      <c r="D115" s="78"/>
      <c r="E115" s="78"/>
      <c r="F115" s="78"/>
      <c r="G115" s="78"/>
      <c r="H115" s="78"/>
      <c r="I115" s="78"/>
      <c r="J115" s="78"/>
      <c r="K115" s="78"/>
    </row>
    <row r="116" spans="2:11" ht="27" customHeight="1">
      <c r="B116" s="50"/>
      <c r="C116" s="51" t="s">
        <v>417</v>
      </c>
      <c r="D116" s="50"/>
      <c r="E116" s="52">
        <v>10000</v>
      </c>
      <c r="F116" s="53">
        <f>IFERROR(SUM(H118,H119,H120,H121,H122,H123,H124,H125,H126,H127,H128,H129,H131,H132,H133,H134,H135),0)</f>
        <v>0</v>
      </c>
      <c r="G116" s="54">
        <f>IFERROR(E116*'💰 고정비용 DB'!$D$22/'💰 고정비용 DB'!$D$25,0)</f>
        <v>6602.9706598008152</v>
      </c>
      <c r="H116" s="55">
        <f>IFERROR(G116-F116,"")</f>
        <v>6602.9706598008152</v>
      </c>
      <c r="I116" s="56">
        <f>IFERROR(H116/E116,"")</f>
        <v>0.66029706598008153</v>
      </c>
      <c r="J116" s="57" t="str">
        <f>IF(I116="","⬜ 미입력",IF(I116&lt;=0.2,"✅ 양호",IF(I116&lt;=0.32,"🟡 주의","🔴 과다")))</f>
        <v>🔴 과다</v>
      </c>
      <c r="K116" s="50"/>
    </row>
    <row r="117" spans="2:11" ht="12.75" customHeight="1">
      <c r="B117" s="204" t="s">
        <v>291</v>
      </c>
      <c r="C117" s="204"/>
      <c r="D117" s="204"/>
      <c r="E117" s="204"/>
      <c r="F117" s="204"/>
      <c r="G117" s="204"/>
      <c r="H117" s="204"/>
      <c r="I117" s="204"/>
      <c r="J117" s="204"/>
      <c r="K117" s="204"/>
    </row>
    <row r="118" spans="2:11" ht="16.5" customHeight="1">
      <c r="B118" s="58">
        <v>1</v>
      </c>
      <c r="C118" s="68"/>
      <c r="D118" s="59" t="s">
        <v>292</v>
      </c>
      <c r="E118" s="69"/>
      <c r="F118" s="70"/>
      <c r="G118" s="25" t="str">
        <f>IFERROR(VLOOKUP(C118,'🥬 식재료 DB'!$C$7:$H$121,6,0),"")</f>
        <v/>
      </c>
      <c r="H118" s="62" t="str">
        <f t="shared" ref="H118:H129" si="5">IFERROR(IF(AND(C118&lt;&gt;"",ISNUMBER(E118),ISNUMBER(F118),F118&gt;0,ISNUMBER(G118)),E118/F118*G118,""),"")</f>
        <v/>
      </c>
      <c r="I118" s="63"/>
      <c r="J118" s="63"/>
    </row>
    <row r="119" spans="2:11" ht="16.5" customHeight="1">
      <c r="B119" s="58">
        <v>2</v>
      </c>
      <c r="C119" s="68"/>
      <c r="D119" s="59" t="s">
        <v>292</v>
      </c>
      <c r="E119" s="69"/>
      <c r="F119" s="70"/>
      <c r="G119" s="25" t="str">
        <f>IFERROR(VLOOKUP(C119,'🥬 식재료 DB'!$C$7:$H$121,6,0),"")</f>
        <v/>
      </c>
      <c r="H119" s="62" t="str">
        <f t="shared" si="5"/>
        <v/>
      </c>
      <c r="I119" s="126"/>
      <c r="J119" s="126"/>
    </row>
    <row r="120" spans="2:11" ht="16.5" customHeight="1">
      <c r="B120" s="58">
        <v>3</v>
      </c>
      <c r="C120" s="68"/>
      <c r="D120" s="59" t="s">
        <v>292</v>
      </c>
      <c r="E120" s="69"/>
      <c r="F120" s="70"/>
      <c r="G120" s="25" t="str">
        <f>IFERROR(VLOOKUP(C120,'🥬 식재료 DB'!$C$7:$H$121,6,0),"")</f>
        <v/>
      </c>
      <c r="H120" s="62" t="str">
        <f t="shared" si="5"/>
        <v/>
      </c>
      <c r="I120" s="63"/>
      <c r="J120" s="63"/>
    </row>
    <row r="121" spans="2:11" ht="16.5" customHeight="1">
      <c r="B121" s="58">
        <v>4</v>
      </c>
      <c r="C121" s="68"/>
      <c r="D121" s="59" t="s">
        <v>292</v>
      </c>
      <c r="E121" s="69"/>
      <c r="F121" s="70"/>
      <c r="G121" s="25" t="str">
        <f>IFERROR(VLOOKUP(C121,'🥬 식재료 DB'!$C$7:$H$121,6,0),"")</f>
        <v/>
      </c>
      <c r="H121" s="62" t="str">
        <f t="shared" si="5"/>
        <v/>
      </c>
      <c r="I121" s="126"/>
      <c r="J121" s="126"/>
    </row>
    <row r="122" spans="2:11" ht="16.5" customHeight="1">
      <c r="B122" s="58">
        <v>5</v>
      </c>
      <c r="C122" s="68"/>
      <c r="D122" s="59" t="s">
        <v>292</v>
      </c>
      <c r="E122" s="69"/>
      <c r="F122" s="70"/>
      <c r="G122" s="25" t="str">
        <f>IFERROR(VLOOKUP(C122,'🥬 식재료 DB'!$C$7:$H$121,6,0),"")</f>
        <v/>
      </c>
      <c r="H122" s="62" t="str">
        <f t="shared" si="5"/>
        <v/>
      </c>
      <c r="I122" s="63"/>
      <c r="J122" s="63"/>
    </row>
    <row r="123" spans="2:11" ht="16.5" customHeight="1">
      <c r="B123" s="58">
        <v>6</v>
      </c>
      <c r="C123" s="68"/>
      <c r="D123" s="59" t="s">
        <v>292</v>
      </c>
      <c r="E123" s="69"/>
      <c r="F123" s="70"/>
      <c r="G123" s="25" t="str">
        <f>IFERROR(VLOOKUP(C123,'🥬 식재료 DB'!$C$7:$H$121,6,0),"")</f>
        <v/>
      </c>
      <c r="H123" s="62" t="str">
        <f t="shared" si="5"/>
        <v/>
      </c>
      <c r="I123" s="126"/>
      <c r="J123" s="126"/>
    </row>
    <row r="124" spans="2:11" ht="16.5" customHeight="1">
      <c r="B124" s="58">
        <v>7</v>
      </c>
      <c r="C124" s="68"/>
      <c r="D124" s="59" t="s">
        <v>292</v>
      </c>
      <c r="E124" s="69"/>
      <c r="F124" s="70"/>
      <c r="G124" s="25" t="str">
        <f>IFERROR(VLOOKUP(C124,'🥬 식재료 DB'!$C$7:$H$121,6,0),"")</f>
        <v/>
      </c>
      <c r="H124" s="62" t="str">
        <f t="shared" si="5"/>
        <v/>
      </c>
      <c r="I124" s="63"/>
      <c r="J124" s="63"/>
    </row>
    <row r="125" spans="2:11" ht="16.5" customHeight="1">
      <c r="B125" s="58">
        <v>8</v>
      </c>
      <c r="C125" s="68"/>
      <c r="D125" s="59" t="s">
        <v>292</v>
      </c>
      <c r="E125" s="69"/>
      <c r="F125" s="70"/>
      <c r="G125" s="25" t="str">
        <f>IFERROR(VLOOKUP(C125,'🥬 식재료 DB'!$C$7:$H$121,6,0),"")</f>
        <v/>
      </c>
      <c r="H125" s="62" t="str">
        <f t="shared" si="5"/>
        <v/>
      </c>
      <c r="I125" s="126"/>
      <c r="J125" s="126"/>
    </row>
    <row r="126" spans="2:11" ht="16.5" customHeight="1">
      <c r="B126" s="58">
        <v>9</v>
      </c>
      <c r="C126" s="68"/>
      <c r="D126" s="59" t="s">
        <v>292</v>
      </c>
      <c r="E126" s="69"/>
      <c r="F126" s="70"/>
      <c r="G126" s="25" t="str">
        <f>IFERROR(VLOOKUP(C126,'🥬 식재료 DB'!$C$7:$H$121,6,0),"")</f>
        <v/>
      </c>
      <c r="H126" s="62" t="str">
        <f t="shared" si="5"/>
        <v/>
      </c>
      <c r="I126" s="63"/>
      <c r="J126" s="63"/>
    </row>
    <row r="127" spans="2:11" ht="16.5" customHeight="1">
      <c r="B127" s="58">
        <v>10</v>
      </c>
      <c r="C127" s="68"/>
      <c r="D127" s="59" t="s">
        <v>292</v>
      </c>
      <c r="E127" s="69"/>
      <c r="F127" s="70"/>
      <c r="G127" s="25" t="str">
        <f>IFERROR(VLOOKUP(C127,'🥬 식재료 DB'!$C$7:$H$121,6,0),"")</f>
        <v/>
      </c>
      <c r="H127" s="62" t="str">
        <f t="shared" si="5"/>
        <v/>
      </c>
      <c r="I127" s="126"/>
      <c r="J127" s="126"/>
    </row>
    <row r="128" spans="2:11" ht="16.5" customHeight="1">
      <c r="B128" s="58">
        <v>11</v>
      </c>
      <c r="C128" s="68"/>
      <c r="D128" s="59" t="s">
        <v>292</v>
      </c>
      <c r="E128" s="69"/>
      <c r="F128" s="70"/>
      <c r="G128" s="25" t="str">
        <f>IFERROR(VLOOKUP(C128,'🥬 식재료 DB'!$C$7:$H$121,6,0),"")</f>
        <v/>
      </c>
      <c r="H128" s="62" t="str">
        <f t="shared" si="5"/>
        <v/>
      </c>
      <c r="I128" s="63"/>
      <c r="J128" s="63"/>
    </row>
    <row r="129" spans="2:11" ht="16.5" customHeight="1">
      <c r="B129" s="58">
        <v>12</v>
      </c>
      <c r="C129" s="68"/>
      <c r="D129" s="59" t="s">
        <v>292</v>
      </c>
      <c r="E129" s="69"/>
      <c r="F129" s="70"/>
      <c r="G129" s="25" t="str">
        <f>IFERROR(VLOOKUP(C129,'🥬 식재료 DB'!$C$7:$H$121,6,0),"")</f>
        <v/>
      </c>
      <c r="H129" s="62" t="str">
        <f t="shared" si="5"/>
        <v/>
      </c>
      <c r="I129" s="126"/>
      <c r="J129" s="126"/>
    </row>
    <row r="130" spans="2:11" ht="12.75" customHeight="1">
      <c r="B130" s="203" t="s">
        <v>293</v>
      </c>
      <c r="C130" s="203"/>
      <c r="D130" s="203"/>
      <c r="E130" s="203"/>
      <c r="F130" s="203"/>
      <c r="G130" s="203"/>
      <c r="H130" s="203"/>
      <c r="I130" s="203"/>
      <c r="J130" s="203"/>
      <c r="K130" s="203"/>
    </row>
    <row r="131" spans="2:11" ht="16.5" customHeight="1">
      <c r="B131" s="71">
        <v>13</v>
      </c>
      <c r="C131" s="68"/>
      <c r="D131" s="72" t="s">
        <v>295</v>
      </c>
      <c r="E131" s="69"/>
      <c r="F131" s="70"/>
      <c r="G131" s="73" t="str">
        <f>IFERROR(VLOOKUP(C131,'🧪 프렙 원가표'!$C$8:$D$18,2,0),IFERROR(VLOOKUP(C131,'🥬 식재료 DB'!$C$7:$H$121,6,0),""))</f>
        <v/>
      </c>
      <c r="H131" s="74" t="str">
        <f>IFERROR(IF(AND(C131&lt;&gt;"",ISNUMBER(E131),ISNUMBER(F131),F131&gt;0,ISNUMBER(G131)),E131/F131*G131,""),"")</f>
        <v/>
      </c>
      <c r="I131" s="63"/>
      <c r="J131" s="63"/>
    </row>
    <row r="132" spans="2:11" ht="16.5" customHeight="1">
      <c r="B132" s="71">
        <v>14</v>
      </c>
      <c r="C132" s="68"/>
      <c r="D132" s="72" t="s">
        <v>295</v>
      </c>
      <c r="E132" s="69"/>
      <c r="F132" s="70"/>
      <c r="G132" s="73" t="str">
        <f>IFERROR(VLOOKUP(C132,'🧪 프렙 원가표'!$C$8:$D$18,2,0),IFERROR(VLOOKUP(C132,'🥬 식재료 DB'!$C$7:$H$121,6,0),""))</f>
        <v/>
      </c>
      <c r="H132" s="74" t="str">
        <f>IFERROR(IF(AND(C132&lt;&gt;"",ISNUMBER(E132),ISNUMBER(F132),F132&gt;0,ISNUMBER(G132)),E132/F132*G132,""),"")</f>
        <v/>
      </c>
      <c r="I132" s="77"/>
      <c r="J132" s="77"/>
    </row>
    <row r="133" spans="2:11" ht="16.5" customHeight="1">
      <c r="B133" s="71">
        <v>15</v>
      </c>
      <c r="C133" s="68"/>
      <c r="D133" s="72" t="s">
        <v>295</v>
      </c>
      <c r="E133" s="69"/>
      <c r="F133" s="70"/>
      <c r="G133" s="73" t="str">
        <f>IFERROR(VLOOKUP(C133,'🧪 프렙 원가표'!$C$8:$D$18,2,0),IFERROR(VLOOKUP(C133,'🥬 식재료 DB'!$C$7:$H$121,6,0),""))</f>
        <v/>
      </c>
      <c r="H133" s="74" t="str">
        <f>IFERROR(IF(AND(C133&lt;&gt;"",ISNUMBER(E133),ISNUMBER(F133),F133&gt;0,ISNUMBER(G133)),E133/F133*G133,""),"")</f>
        <v/>
      </c>
      <c r="I133" s="63"/>
      <c r="J133" s="63"/>
    </row>
    <row r="134" spans="2:11" ht="16.5" customHeight="1">
      <c r="B134" s="71">
        <v>16</v>
      </c>
      <c r="C134" s="68"/>
      <c r="D134" s="72" t="s">
        <v>295</v>
      </c>
      <c r="E134" s="69"/>
      <c r="F134" s="70"/>
      <c r="G134" s="73" t="str">
        <f>IFERROR(VLOOKUP(C134,'🧪 프렙 원가표'!$C$8:$D$18,2,0),IFERROR(VLOOKUP(C134,'🥬 식재료 DB'!$C$7:$H$121,6,0),""))</f>
        <v/>
      </c>
      <c r="H134" s="74" t="str">
        <f>IFERROR(IF(AND(C134&lt;&gt;"",ISNUMBER(E134),ISNUMBER(F134),F134&gt;0,ISNUMBER(G134)),E134/F134*G134,""),"")</f>
        <v/>
      </c>
      <c r="I134" s="77"/>
      <c r="J134" s="77"/>
    </row>
    <row r="135" spans="2:11" ht="16.5" customHeight="1">
      <c r="B135" s="71">
        <v>17</v>
      </c>
      <c r="C135" s="68"/>
      <c r="D135" s="72" t="s">
        <v>295</v>
      </c>
      <c r="E135" s="69"/>
      <c r="F135" s="70"/>
      <c r="G135" s="73" t="str">
        <f>IFERROR(VLOOKUP(C135,'🧪 프렙 원가표'!$C$8:$D$18,2,0),IFERROR(VLOOKUP(C135,'🥬 식재료 DB'!$C$7:$H$121,6,0),""))</f>
        <v/>
      </c>
      <c r="H135" s="74" t="str">
        <f>IFERROR(IF(AND(C135&lt;&gt;"",ISNUMBER(E135),ISNUMBER(F135),F135&gt;0,ISNUMBER(G135)),E135/F135*G135,""),"")</f>
        <v/>
      </c>
      <c r="I135" s="63"/>
      <c r="J135" s="63"/>
    </row>
    <row r="136" spans="2:11" ht="3.75" customHeight="1">
      <c r="B136" s="78"/>
      <c r="C136" s="78"/>
      <c r="D136" s="78"/>
      <c r="E136" s="78"/>
      <c r="F136" s="78"/>
      <c r="G136" s="78"/>
      <c r="H136" s="78"/>
      <c r="I136" s="78"/>
      <c r="J136" s="78"/>
      <c r="K136" s="78"/>
    </row>
  </sheetData>
  <mergeCells count="15">
    <mergeCell ref="B2:K2"/>
    <mergeCell ref="B4:K4"/>
    <mergeCell ref="B5:K5"/>
    <mergeCell ref="B9:K9"/>
    <mergeCell ref="B22:K22"/>
    <mergeCell ref="B30:K30"/>
    <mergeCell ref="B43:K43"/>
    <mergeCell ref="B51:K51"/>
    <mergeCell ref="B64:K64"/>
    <mergeCell ref="B72:K72"/>
    <mergeCell ref="B88:K88"/>
    <mergeCell ref="B96:K96"/>
    <mergeCell ref="B109:K109"/>
    <mergeCell ref="B117:K117"/>
    <mergeCell ref="B130:K130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K70"/>
  <sheetViews>
    <sheetView showGridLines="0" zoomScaleNormal="100" workbookViewId="0">
      <pane xSplit="2" ySplit="7" topLeftCell="C44" activePane="bottomRight" state="frozen"/>
      <selection pane="topRight" activeCell="C1" sqref="C1"/>
      <selection pane="bottomLeft" activeCell="A8" sqref="A8"/>
      <selection pane="bottomRight" activeCell="H50" sqref="H50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14" t="s">
        <v>418</v>
      </c>
      <c r="C2" s="214"/>
      <c r="D2" s="214"/>
      <c r="E2" s="214"/>
      <c r="F2" s="214"/>
      <c r="G2" s="214"/>
      <c r="H2" s="214"/>
      <c r="I2" s="214"/>
      <c r="J2" s="214"/>
      <c r="K2" s="214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128" t="s">
        <v>6</v>
      </c>
      <c r="C7" s="129" t="s">
        <v>130</v>
      </c>
      <c r="D7" s="129" t="s">
        <v>284</v>
      </c>
      <c r="E7" s="129" t="s">
        <v>285</v>
      </c>
      <c r="F7" s="129" t="s">
        <v>286</v>
      </c>
      <c r="G7" s="128" t="s">
        <v>287</v>
      </c>
      <c r="H7" s="129" t="s">
        <v>288</v>
      </c>
      <c r="I7" s="129" t="s">
        <v>289</v>
      </c>
    </row>
    <row r="8" spans="2:11" ht="27" customHeight="1">
      <c r="B8" s="50"/>
      <c r="C8" s="51" t="s">
        <v>419</v>
      </c>
      <c r="D8" s="50"/>
      <c r="E8" s="52">
        <v>2000</v>
      </c>
      <c r="F8" s="53">
        <f>IFERROR(SUM(H10,H11,H12,H13,H14,H15,H16,H17,H18,H19,H20,H21,H23,H24,H25,H26,H27),0)</f>
        <v>275</v>
      </c>
      <c r="G8" s="54">
        <f>IFERROR(E8*'💰 고정비용 DB'!$D$22/'💰 고정비용 DB'!$D$25,0)</f>
        <v>1320.5941319601629</v>
      </c>
      <c r="H8" s="55">
        <f>IFERROR(G8-F8,"")</f>
        <v>1045.5941319601629</v>
      </c>
      <c r="I8" s="56">
        <f>IFERROR(H8/E8,"")</f>
        <v>0.52279706598008147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17" t="s">
        <v>185</v>
      </c>
      <c r="D10" s="59" t="s">
        <v>292</v>
      </c>
      <c r="E10" s="60">
        <v>50</v>
      </c>
      <c r="F10" s="61">
        <v>1</v>
      </c>
      <c r="G10" s="25">
        <f>IFERROR(VLOOKUP(C10,'🥬 식재료 DB'!$C$7:$H$121,6,0),"")</f>
        <v>5.5</v>
      </c>
      <c r="H10" s="62">
        <f t="shared" ref="H10:H21" si="0">IFERROR(IF(AND(C10&lt;&gt;"",ISNUMBER(E10),ISNUMBER(F10),F10&gt;0,ISNUMBER(G10)),E10/F10*G10,""),"")</f>
        <v>275</v>
      </c>
      <c r="I10" s="63"/>
      <c r="J10" s="63"/>
    </row>
    <row r="11" spans="2:11" ht="16.5" customHeight="1">
      <c r="B11" s="58">
        <v>2</v>
      </c>
      <c r="C11" s="68"/>
      <c r="D11" s="59" t="s">
        <v>292</v>
      </c>
      <c r="E11" s="69"/>
      <c r="F11" s="70"/>
      <c r="G11" s="25" t="str">
        <f>IFERROR(VLOOKUP(C11,'🥬 식재료 DB'!$C$7:$H$121,6,0),"")</f>
        <v/>
      </c>
      <c r="H11" s="62" t="str">
        <f t="shared" si="0"/>
        <v/>
      </c>
      <c r="I11" s="130"/>
      <c r="J11" s="130"/>
    </row>
    <row r="12" spans="2:11" ht="16.5" customHeight="1">
      <c r="B12" s="58">
        <v>3</v>
      </c>
      <c r="C12" s="68"/>
      <c r="D12" s="59" t="s">
        <v>292</v>
      </c>
      <c r="E12" s="69"/>
      <c r="F12" s="70"/>
      <c r="G12" s="25" t="str">
        <f>IFERROR(VLOOKUP(C12,'🥬 식재료 DB'!$C$7:$H$121,6,0),"")</f>
        <v/>
      </c>
      <c r="H12" s="62" t="str">
        <f t="shared" si="0"/>
        <v/>
      </c>
      <c r="I12" s="63"/>
      <c r="J12" s="63"/>
    </row>
    <row r="13" spans="2:11" ht="16.5" customHeight="1">
      <c r="B13" s="58">
        <v>4</v>
      </c>
      <c r="C13" s="68"/>
      <c r="D13" s="59" t="s">
        <v>292</v>
      </c>
      <c r="E13" s="69"/>
      <c r="F13" s="70"/>
      <c r="G13" s="25" t="str">
        <f>IFERROR(VLOOKUP(C13,'🥬 식재료 DB'!$C$7:$H$121,6,0),"")</f>
        <v/>
      </c>
      <c r="H13" s="62" t="str">
        <f t="shared" si="0"/>
        <v/>
      </c>
      <c r="I13" s="130"/>
      <c r="J13" s="130"/>
    </row>
    <row r="14" spans="2:11" ht="16.5" customHeight="1">
      <c r="B14" s="58">
        <v>5</v>
      </c>
      <c r="C14" s="68"/>
      <c r="D14" s="59" t="s">
        <v>292</v>
      </c>
      <c r="E14" s="69"/>
      <c r="F14" s="70"/>
      <c r="G14" s="25" t="str">
        <f>IFERROR(VLOOKUP(C14,'🥬 식재료 DB'!$C$7:$H$121,6,0),"")</f>
        <v/>
      </c>
      <c r="H14" s="62" t="str">
        <f t="shared" si="0"/>
        <v/>
      </c>
      <c r="I14" s="63"/>
      <c r="J14" s="63"/>
    </row>
    <row r="15" spans="2:11" ht="16.5" customHeight="1">
      <c r="B15" s="58">
        <v>6</v>
      </c>
      <c r="C15" s="68"/>
      <c r="D15" s="59" t="s">
        <v>292</v>
      </c>
      <c r="E15" s="69"/>
      <c r="F15" s="70"/>
      <c r="G15" s="25" t="str">
        <f>IFERROR(VLOOKUP(C15,'🥬 식재료 DB'!$C$7:$H$121,6,0),"")</f>
        <v/>
      </c>
      <c r="H15" s="62" t="str">
        <f t="shared" si="0"/>
        <v/>
      </c>
      <c r="I15" s="130"/>
      <c r="J15" s="130"/>
    </row>
    <row r="16" spans="2:11" ht="16.5" customHeight="1">
      <c r="B16" s="58">
        <v>7</v>
      </c>
      <c r="C16" s="68"/>
      <c r="D16" s="59" t="s">
        <v>292</v>
      </c>
      <c r="E16" s="69"/>
      <c r="F16" s="70"/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68"/>
      <c r="D17" s="59" t="s">
        <v>292</v>
      </c>
      <c r="E17" s="69"/>
      <c r="F17" s="70"/>
      <c r="G17" s="25" t="str">
        <f>IFERROR(VLOOKUP(C17,'🥬 식재료 DB'!$C$7:$H$121,6,0),"")</f>
        <v/>
      </c>
      <c r="H17" s="62" t="str">
        <f t="shared" si="0"/>
        <v/>
      </c>
      <c r="I17" s="130"/>
      <c r="J17" s="130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130"/>
      <c r="J19" s="130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130"/>
      <c r="J21" s="130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" t="s">
        <v>420</v>
      </c>
      <c r="D23" s="72" t="s">
        <v>295</v>
      </c>
      <c r="E23" s="60">
        <v>170</v>
      </c>
      <c r="F23" s="61">
        <v>1</v>
      </c>
      <c r="G23" s="73" t="str">
        <f>IFERROR(VLOOKUP(C23,'🧪 프렙 원가표'!$C$8:$D$18,2,0),IFERROR(VLOOKUP(C23,'🥬 식재료 DB'!$C$7:$H$121,6,0),""))</f>
        <v/>
      </c>
      <c r="H23" s="74" t="str">
        <f>IFERROR(IF(AND(C23&lt;&gt;"",ISNUMBER(E23),ISNUMBER(F23),F23&gt;0,ISNUMBER(G23)),E23/F23*G23,""),"")</f>
        <v/>
      </c>
      <c r="I23" s="63"/>
      <c r="J23" s="63"/>
    </row>
    <row r="24" spans="2:11" ht="16.5" customHeight="1">
      <c r="B24" s="71">
        <v>14</v>
      </c>
      <c r="C24" s="68"/>
      <c r="D24" s="72" t="s">
        <v>295</v>
      </c>
      <c r="E24" s="69"/>
      <c r="F24" s="70"/>
      <c r="G24" s="73" t="str">
        <f>IFERROR(VLOOKUP(C24,'🧪 프렙 원가표'!$C$8:$D$18,2,0),IFERROR(VLOOKUP(C24,'🥬 식재료 DB'!$C$7:$H$121,6,0),""))</f>
        <v/>
      </c>
      <c r="H24" s="74" t="str">
        <f>IFERROR(IF(AND(C24&lt;&gt;"",ISNUMBER(E24),ISNUMBER(F24),F24&gt;0,ISNUMBER(G24)),E24/F24*G24,""),"")</f>
        <v/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421</v>
      </c>
      <c r="D29" s="50"/>
      <c r="E29" s="52">
        <v>2000</v>
      </c>
      <c r="F29" s="53">
        <f>IFERROR(SUM(H31,H32,H33,H34,H35,H36,H37,H38,H39,H40,H41,H42,H44,H45,H46,H47,H48),0)</f>
        <v>260</v>
      </c>
      <c r="G29" s="54">
        <f>IFERROR(E29*'💰 고정비용 DB'!$D$22/'💰 고정비용 DB'!$D$25,0)</f>
        <v>1320.5941319601629</v>
      </c>
      <c r="H29" s="55">
        <f>IFERROR(G29-F29,"")</f>
        <v>1060.5941319601629</v>
      </c>
      <c r="I29" s="56">
        <f>IFERROR(H29/E29,"")</f>
        <v>0.53029706598008142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17" t="s">
        <v>184</v>
      </c>
      <c r="D31" s="59" t="s">
        <v>292</v>
      </c>
      <c r="E31" s="60">
        <v>50</v>
      </c>
      <c r="F31" s="61">
        <v>1</v>
      </c>
      <c r="G31" s="25">
        <f>IFERROR(VLOOKUP(C31,'🥬 식재료 DB'!$C$7:$H$121,6,0),"")</f>
        <v>5.2</v>
      </c>
      <c r="H31" s="62">
        <f t="shared" ref="H31:H42" si="1">IFERROR(IF(AND(C31&lt;&gt;"",ISNUMBER(E31),ISNUMBER(F31),F31&gt;0,ISNUMBER(G31)),E31/F31*G31,""),"")</f>
        <v>260</v>
      </c>
      <c r="I31" s="63"/>
      <c r="J31" s="63"/>
    </row>
    <row r="32" spans="2:11" ht="16.5" customHeight="1">
      <c r="B32" s="58">
        <v>2</v>
      </c>
      <c r="C32" s="68"/>
      <c r="D32" s="59" t="s">
        <v>292</v>
      </c>
      <c r="E32" s="69"/>
      <c r="F32" s="70"/>
      <c r="G32" s="25" t="str">
        <f>IFERROR(VLOOKUP(C32,'🥬 식재료 DB'!$C$7:$H$121,6,0),"")</f>
        <v/>
      </c>
      <c r="H32" s="62" t="str">
        <f t="shared" si="1"/>
        <v/>
      </c>
      <c r="I32" s="130"/>
      <c r="J32" s="130"/>
    </row>
    <row r="33" spans="2:11" ht="16.5" customHeight="1">
      <c r="B33" s="58">
        <v>3</v>
      </c>
      <c r="C33" s="68"/>
      <c r="D33" s="59" t="s">
        <v>292</v>
      </c>
      <c r="E33" s="69"/>
      <c r="F33" s="70"/>
      <c r="G33" s="25" t="str">
        <f>IFERROR(VLOOKUP(C33,'🥬 식재료 DB'!$C$7:$H$121,6,0),"")</f>
        <v/>
      </c>
      <c r="H33" s="62" t="str">
        <f t="shared" si="1"/>
        <v/>
      </c>
      <c r="I33" s="63"/>
      <c r="J33" s="63"/>
    </row>
    <row r="34" spans="2:11" ht="16.5" customHeight="1">
      <c r="B34" s="58">
        <v>4</v>
      </c>
      <c r="C34" s="68"/>
      <c r="D34" s="59" t="s">
        <v>292</v>
      </c>
      <c r="E34" s="69"/>
      <c r="F34" s="70"/>
      <c r="G34" s="25" t="str">
        <f>IFERROR(VLOOKUP(C34,'🥬 식재료 DB'!$C$7:$H$121,6,0),"")</f>
        <v/>
      </c>
      <c r="H34" s="62" t="str">
        <f t="shared" si="1"/>
        <v/>
      </c>
      <c r="I34" s="130"/>
      <c r="J34" s="130"/>
    </row>
    <row r="35" spans="2:11" ht="16.5" customHeight="1">
      <c r="B35" s="58">
        <v>5</v>
      </c>
      <c r="C35" s="68"/>
      <c r="D35" s="59" t="s">
        <v>292</v>
      </c>
      <c r="E35" s="69"/>
      <c r="F35" s="70"/>
      <c r="G35" s="25" t="str">
        <f>IFERROR(VLOOKUP(C35,'🥬 식재료 DB'!$C$7:$H$121,6,0),"")</f>
        <v/>
      </c>
      <c r="H35" s="62" t="str">
        <f t="shared" si="1"/>
        <v/>
      </c>
      <c r="I35" s="63"/>
      <c r="J35" s="63"/>
    </row>
    <row r="36" spans="2:11" ht="16.5" customHeight="1">
      <c r="B36" s="58">
        <v>6</v>
      </c>
      <c r="C36" s="68"/>
      <c r="D36" s="59" t="s">
        <v>292</v>
      </c>
      <c r="E36" s="69"/>
      <c r="F36" s="70"/>
      <c r="G36" s="25" t="str">
        <f>IFERROR(VLOOKUP(C36,'🥬 식재료 DB'!$C$7:$H$121,6,0),"")</f>
        <v/>
      </c>
      <c r="H36" s="62" t="str">
        <f t="shared" si="1"/>
        <v/>
      </c>
      <c r="I36" s="130"/>
      <c r="J36" s="130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130"/>
      <c r="J38" s="130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130"/>
      <c r="J40" s="130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130"/>
      <c r="J42" s="130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" t="s">
        <v>420</v>
      </c>
      <c r="D44" s="72" t="s">
        <v>295</v>
      </c>
      <c r="E44" s="60">
        <v>170</v>
      </c>
      <c r="F44" s="61">
        <v>1</v>
      </c>
      <c r="G44" s="73" t="str">
        <f>IFERROR(VLOOKUP(C44,'🧪 프렙 원가표'!$C$8:$D$18,2,0),IFERROR(VLOOKUP(C44,'🥬 식재료 DB'!$C$7:$H$121,6,0),""))</f>
        <v/>
      </c>
      <c r="H44" s="74" t="str">
        <f>IFERROR(IF(AND(C44&lt;&gt;"",ISNUMBER(E44),ISNUMBER(F44),F44&gt;0,ISNUMBER(G44)),E44/F44*G44,""),"")</f>
        <v/>
      </c>
      <c r="I44" s="63"/>
      <c r="J44" s="63"/>
    </row>
    <row r="45" spans="2:11" ht="16.5" customHeight="1">
      <c r="B45" s="71">
        <v>14</v>
      </c>
      <c r="C45" s="68"/>
      <c r="D45" s="72" t="s">
        <v>295</v>
      </c>
      <c r="E45" s="69"/>
      <c r="F45" s="70"/>
      <c r="G45" s="73" t="str">
        <f>IFERROR(VLOOKUP(C45,'🧪 프렙 원가표'!$C$8:$D$18,2,0),IFERROR(VLOOKUP(C45,'🥬 식재료 DB'!$C$7:$H$121,6,0),""))</f>
        <v/>
      </c>
      <c r="H45" s="74" t="str">
        <f>IFERROR(IF(AND(C45&lt;&gt;"",ISNUMBER(E45),ISNUMBER(F45),F45&gt;0,ISNUMBER(G45)),E45/F45*G45,""),"")</f>
        <v/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422</v>
      </c>
      <c r="D50" s="50"/>
      <c r="E50" s="52">
        <v>6000</v>
      </c>
      <c r="F50" s="53">
        <f>IFERROR(SUM(H52,H53,H54,H55,H56,H57,H58,H59,H60,H61,H62,H63,H65,H66,H67,H68,H69),0)</f>
        <v>0</v>
      </c>
      <c r="G50" s="54">
        <f>IFERROR(E50*'💰 고정비용 DB'!$D$22/'💰 고정비용 DB'!$D$25,0)</f>
        <v>3961.7823958804888</v>
      </c>
      <c r="H50" s="55">
        <f>IFERROR(G50-F50,"")</f>
        <v>3961.7823958804888</v>
      </c>
      <c r="I50" s="56">
        <f>IFERROR(H50/E50,"")</f>
        <v>0.66029706598008142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8"/>
      <c r="D52" s="59" t="s">
        <v>292</v>
      </c>
      <c r="E52" s="69"/>
      <c r="F52" s="70"/>
      <c r="G52" s="25" t="str">
        <f>IFERROR(VLOOKUP(C52,'🥬 식재료 DB'!$C$7:$H$121,6,0),"")</f>
        <v/>
      </c>
      <c r="H52" s="62" t="str">
        <f t="shared" ref="H52:H63" si="2">IFERROR(IF(AND(C52&lt;&gt;"",ISNUMBER(E52),ISNUMBER(F52),F52&gt;0,ISNUMBER(G52)),E52/F52*G52,""),"")</f>
        <v/>
      </c>
      <c r="I52" s="63"/>
      <c r="J52" s="63"/>
    </row>
    <row r="53" spans="2:11" ht="16.5" customHeight="1">
      <c r="B53" s="58">
        <v>2</v>
      </c>
      <c r="C53" s="68"/>
      <c r="D53" s="59" t="s">
        <v>292</v>
      </c>
      <c r="E53" s="69"/>
      <c r="F53" s="70"/>
      <c r="G53" s="25" t="str">
        <f>IFERROR(VLOOKUP(C53,'🥬 식재료 DB'!$C$7:$H$121,6,0),"")</f>
        <v/>
      </c>
      <c r="H53" s="62" t="str">
        <f t="shared" si="2"/>
        <v/>
      </c>
      <c r="I53" s="130"/>
      <c r="J53" s="130"/>
    </row>
    <row r="54" spans="2:11" ht="16.5" customHeight="1">
      <c r="B54" s="58">
        <v>3</v>
      </c>
      <c r="C54" s="68"/>
      <c r="D54" s="59" t="s">
        <v>292</v>
      </c>
      <c r="E54" s="69"/>
      <c r="F54" s="70"/>
      <c r="G54" s="25" t="str">
        <f>IFERROR(VLOOKUP(C54,'🥬 식재료 DB'!$C$7:$H$121,6,0),"")</f>
        <v/>
      </c>
      <c r="H54" s="62" t="str">
        <f t="shared" si="2"/>
        <v/>
      </c>
      <c r="I54" s="63"/>
      <c r="J54" s="63"/>
    </row>
    <row r="55" spans="2:11" ht="16.5" customHeight="1">
      <c r="B55" s="58">
        <v>4</v>
      </c>
      <c r="C55" s="68"/>
      <c r="D55" s="59" t="s">
        <v>292</v>
      </c>
      <c r="E55" s="69"/>
      <c r="F55" s="70"/>
      <c r="G55" s="25" t="str">
        <f>IFERROR(VLOOKUP(C55,'🥬 식재료 DB'!$C$7:$H$121,6,0),"")</f>
        <v/>
      </c>
      <c r="H55" s="62" t="str">
        <f t="shared" si="2"/>
        <v/>
      </c>
      <c r="I55" s="130"/>
      <c r="J55" s="130"/>
    </row>
    <row r="56" spans="2:11" ht="16.5" customHeight="1">
      <c r="B56" s="58">
        <v>5</v>
      </c>
      <c r="C56" s="68"/>
      <c r="D56" s="59" t="s">
        <v>292</v>
      </c>
      <c r="E56" s="69"/>
      <c r="F56" s="70"/>
      <c r="G56" s="25" t="str">
        <f>IFERROR(VLOOKUP(C56,'🥬 식재료 DB'!$C$7:$H$121,6,0),"")</f>
        <v/>
      </c>
      <c r="H56" s="62" t="str">
        <f t="shared" si="2"/>
        <v/>
      </c>
      <c r="I56" s="63"/>
      <c r="J56" s="63"/>
    </row>
    <row r="57" spans="2:11" ht="16.5" customHeight="1">
      <c r="B57" s="58">
        <v>6</v>
      </c>
      <c r="C57" s="68"/>
      <c r="D57" s="59" t="s">
        <v>292</v>
      </c>
      <c r="E57" s="69"/>
      <c r="F57" s="70"/>
      <c r="G57" s="25" t="str">
        <f>IFERROR(VLOOKUP(C57,'🥬 식재료 DB'!$C$7:$H$121,6,0),"")</f>
        <v/>
      </c>
      <c r="H57" s="62" t="str">
        <f t="shared" si="2"/>
        <v/>
      </c>
      <c r="I57" s="130"/>
      <c r="J57" s="130"/>
    </row>
    <row r="58" spans="2:11" ht="16.5" customHeight="1">
      <c r="B58" s="58">
        <v>7</v>
      </c>
      <c r="C58" s="68"/>
      <c r="D58" s="59" t="s">
        <v>292</v>
      </c>
      <c r="E58" s="69"/>
      <c r="F58" s="70"/>
      <c r="G58" s="25" t="str">
        <f>IFERROR(VLOOKUP(C58,'🥬 식재료 DB'!$C$7:$H$121,6,0),"")</f>
        <v/>
      </c>
      <c r="H58" s="62" t="str">
        <f t="shared" si="2"/>
        <v/>
      </c>
      <c r="I58" s="63"/>
      <c r="J58" s="63"/>
    </row>
    <row r="59" spans="2:11" ht="16.5" customHeight="1">
      <c r="B59" s="58">
        <v>8</v>
      </c>
      <c r="C59" s="68"/>
      <c r="D59" s="59" t="s">
        <v>292</v>
      </c>
      <c r="E59" s="69"/>
      <c r="F59" s="70"/>
      <c r="G59" s="25" t="str">
        <f>IFERROR(VLOOKUP(C59,'🥬 식재료 DB'!$C$7:$H$121,6,0),"")</f>
        <v/>
      </c>
      <c r="H59" s="62" t="str">
        <f t="shared" si="2"/>
        <v/>
      </c>
      <c r="I59" s="130"/>
      <c r="J59" s="130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130"/>
      <c r="J61" s="130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130"/>
      <c r="J63" s="130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" t="s">
        <v>420</v>
      </c>
      <c r="D65" s="72" t="s">
        <v>295</v>
      </c>
      <c r="E65" s="60">
        <v>340</v>
      </c>
      <c r="F65" s="61">
        <v>1</v>
      </c>
      <c r="G65" s="73" t="str">
        <f>IFERROR(VLOOKUP(C65,'🧪 프렙 원가표'!$C$8:$D$18,2,0),IFERROR(VLOOKUP(C65,'🥬 식재료 DB'!$C$7:$H$121,6,0),""))</f>
        <v/>
      </c>
      <c r="H65" s="74" t="str">
        <f>IFERROR(IF(AND(C65&lt;&gt;"",ISNUMBER(E65),ISNUMBER(F65),F65&gt;0,ISNUMBER(G65)),E65/F65*G65,""),"")</f>
        <v/>
      </c>
      <c r="I65" s="63"/>
      <c r="J65" s="63"/>
    </row>
    <row r="66" spans="2:11" ht="16.5" customHeight="1">
      <c r="B66" s="71">
        <v>14</v>
      </c>
      <c r="C66" s="68"/>
      <c r="D66" s="72" t="s">
        <v>295</v>
      </c>
      <c r="E66" s="69"/>
      <c r="F66" s="70"/>
      <c r="G66" s="73" t="str">
        <f>IFERROR(VLOOKUP(C66,'🧪 프렙 원가표'!$C$8:$D$18,2,0),IFERROR(VLOOKUP(C66,'🥬 식재료 DB'!$C$7:$H$121,6,0),""))</f>
        <v/>
      </c>
      <c r="H66" s="74" t="str">
        <f>IFERROR(IF(AND(C66&lt;&gt;"",ISNUMBER(E66),ISNUMBER(F66),F66&gt;0,ISNUMBER(G66)),E66/F66*G66,""),"")</f>
        <v/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</sheetData>
  <mergeCells count="9">
    <mergeCell ref="B30:K30"/>
    <mergeCell ref="B43:K43"/>
    <mergeCell ref="B51:K51"/>
    <mergeCell ref="B64:K64"/>
    <mergeCell ref="B2:K2"/>
    <mergeCell ref="B4:K4"/>
    <mergeCell ref="B5:K5"/>
    <mergeCell ref="B9:K9"/>
    <mergeCell ref="B22:K22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77BD"/>
  </sheetPr>
  <dimension ref="A1:K217"/>
  <sheetViews>
    <sheetView showGridLines="0" zoomScaleNormal="100" workbookViewId="0">
      <pane xSplit="2" ySplit="7" topLeftCell="C209" activePane="bottomRight" state="frozen"/>
      <selection pane="topRight" activeCell="C1" sqref="C1"/>
      <selection pane="bottomLeft" activeCell="A8" sqref="A8"/>
      <selection pane="bottomRight" activeCell="H197" sqref="H197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15" t="s">
        <v>423</v>
      </c>
      <c r="C2" s="215"/>
      <c r="D2" s="215"/>
      <c r="E2" s="215"/>
      <c r="F2" s="215"/>
      <c r="G2" s="215"/>
      <c r="H2" s="215"/>
      <c r="I2" s="215"/>
      <c r="J2" s="215"/>
      <c r="K2" s="215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131" t="s">
        <v>6</v>
      </c>
      <c r="C7" s="132" t="s">
        <v>130</v>
      </c>
      <c r="D7" s="132" t="s">
        <v>284</v>
      </c>
      <c r="E7" s="132" t="s">
        <v>285</v>
      </c>
      <c r="F7" s="132" t="s">
        <v>286</v>
      </c>
      <c r="G7" s="131" t="s">
        <v>287</v>
      </c>
      <c r="H7" s="132" t="s">
        <v>288</v>
      </c>
      <c r="I7" s="132" t="s">
        <v>289</v>
      </c>
    </row>
    <row r="8" spans="2:11" ht="27" customHeight="1">
      <c r="B8" s="50"/>
      <c r="C8" s="51" t="s">
        <v>424</v>
      </c>
      <c r="D8" s="50"/>
      <c r="E8" s="52">
        <v>3500</v>
      </c>
      <c r="F8" s="53">
        <f>IFERROR(SUM(H10,H11,H12,H13,H14,H15,H16,H17,H18,H19,H20,H21,H23,H24,H25,H26,H27),0)</f>
        <v>27.666666666666664</v>
      </c>
      <c r="G8" s="54">
        <f>IFERROR(E8*'💰 고정비용 DB'!$D$22/'💰 고정비용 DB'!$D$25,0)</f>
        <v>2311.0397309302853</v>
      </c>
      <c r="H8" s="55">
        <f>IFERROR(G8-F8,"")</f>
        <v>2283.3730642636187</v>
      </c>
      <c r="I8" s="56">
        <f>IFERROR(H8/E8,"")</f>
        <v>0.65239230407531967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425</v>
      </c>
      <c r="D10" s="59" t="s">
        <v>292</v>
      </c>
      <c r="E10" s="60">
        <v>100</v>
      </c>
      <c r="F10" s="61">
        <v>1</v>
      </c>
      <c r="G10" s="25" t="str">
        <f>IFERROR(VLOOKUP(C10,'🥬 식재료 DB'!$C$7:$H$121,6,0),"")</f>
        <v/>
      </c>
      <c r="H10" s="62" t="str">
        <f t="shared" ref="H10:H21" si="0">IFERROR(IF(AND(C10&lt;&gt;"",ISNUMBER(E10),ISNUMBER(F10),F10&gt;0,ISNUMBER(G10)),E10/F10*G10,""),"")</f>
        <v/>
      </c>
      <c r="I10" s="63"/>
      <c r="J10" s="63"/>
    </row>
    <row r="11" spans="2:11" ht="16.5" customHeight="1">
      <c r="B11" s="58">
        <v>2</v>
      </c>
      <c r="C11" s="133" t="s">
        <v>169</v>
      </c>
      <c r="D11" s="59" t="s">
        <v>292</v>
      </c>
      <c r="E11" s="134">
        <v>20</v>
      </c>
      <c r="F11" s="135">
        <v>1</v>
      </c>
      <c r="G11" s="25">
        <f>IFERROR(VLOOKUP(C11,'🥬 식재료 DB'!$C$7:$H$121,6,0),"")</f>
        <v>1.3333333333333333</v>
      </c>
      <c r="H11" s="62">
        <f t="shared" si="0"/>
        <v>26.666666666666664</v>
      </c>
      <c r="I11" s="136"/>
      <c r="J11" s="136"/>
    </row>
    <row r="12" spans="2:11" ht="16.5" customHeight="1">
      <c r="B12" s="58">
        <v>3</v>
      </c>
      <c r="C12" s="6" t="s">
        <v>168</v>
      </c>
      <c r="D12" s="59" t="s">
        <v>292</v>
      </c>
      <c r="E12" s="60">
        <v>1</v>
      </c>
      <c r="F12" s="61">
        <v>1</v>
      </c>
      <c r="G12" s="25">
        <f>IFERROR(VLOOKUP(C12,'🥬 식재료 DB'!$C$7:$H$121,6,0),"")</f>
        <v>1</v>
      </c>
      <c r="H12" s="62">
        <f t="shared" si="0"/>
        <v>1</v>
      </c>
      <c r="I12" s="63"/>
      <c r="J12" s="63"/>
    </row>
    <row r="13" spans="2:11" ht="16.5" customHeight="1">
      <c r="B13" s="58">
        <v>4</v>
      </c>
      <c r="C13" s="68"/>
      <c r="D13" s="59" t="s">
        <v>292</v>
      </c>
      <c r="E13" s="69"/>
      <c r="F13" s="70"/>
      <c r="G13" s="25" t="str">
        <f>IFERROR(VLOOKUP(C13,'🥬 식재료 DB'!$C$7:$H$121,6,0),"")</f>
        <v/>
      </c>
      <c r="H13" s="62" t="str">
        <f t="shared" si="0"/>
        <v/>
      </c>
      <c r="I13" s="136"/>
      <c r="J13" s="136"/>
    </row>
    <row r="14" spans="2:11" ht="16.5" customHeight="1">
      <c r="B14" s="58">
        <v>5</v>
      </c>
      <c r="C14" s="68"/>
      <c r="D14" s="59" t="s">
        <v>292</v>
      </c>
      <c r="E14" s="69"/>
      <c r="F14" s="70"/>
      <c r="G14" s="25" t="str">
        <f>IFERROR(VLOOKUP(C14,'🥬 식재료 DB'!$C$7:$H$121,6,0),"")</f>
        <v/>
      </c>
      <c r="H14" s="62" t="str">
        <f t="shared" si="0"/>
        <v/>
      </c>
      <c r="I14" s="63"/>
      <c r="J14" s="63"/>
    </row>
    <row r="15" spans="2:11" ht="16.5" customHeight="1">
      <c r="B15" s="58">
        <v>6</v>
      </c>
      <c r="C15" s="68"/>
      <c r="D15" s="59" t="s">
        <v>292</v>
      </c>
      <c r="E15" s="69"/>
      <c r="F15" s="70"/>
      <c r="G15" s="25" t="str">
        <f>IFERROR(VLOOKUP(C15,'🥬 식재료 DB'!$C$7:$H$121,6,0),"")</f>
        <v/>
      </c>
      <c r="H15" s="62" t="str">
        <f t="shared" si="0"/>
        <v/>
      </c>
      <c r="I15" s="136"/>
      <c r="J15" s="136"/>
    </row>
    <row r="16" spans="2:11" ht="16.5" customHeight="1">
      <c r="B16" s="58">
        <v>7</v>
      </c>
      <c r="C16" s="68"/>
      <c r="D16" s="59" t="s">
        <v>292</v>
      </c>
      <c r="E16" s="69"/>
      <c r="F16" s="70"/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68"/>
      <c r="D17" s="59" t="s">
        <v>292</v>
      </c>
      <c r="E17" s="69"/>
      <c r="F17" s="70"/>
      <c r="G17" s="25" t="str">
        <f>IFERROR(VLOOKUP(C17,'🥬 식재료 DB'!$C$7:$H$121,6,0),"")</f>
        <v/>
      </c>
      <c r="H17" s="62" t="str">
        <f t="shared" si="0"/>
        <v/>
      </c>
      <c r="I17" s="136"/>
      <c r="J17" s="136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136"/>
      <c r="J19" s="136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136"/>
      <c r="J21" s="136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" t="s">
        <v>420</v>
      </c>
      <c r="D23" s="72" t="s">
        <v>295</v>
      </c>
      <c r="E23" s="60">
        <v>250</v>
      </c>
      <c r="F23" s="61">
        <v>1</v>
      </c>
      <c r="G23" s="73" t="str">
        <f>IFERROR(VLOOKUP(C23,'🧪 프렙 원가표'!$C$8:$D$18,2,0),IFERROR(VLOOKUP(C23,'🥬 식재료 DB'!$C$7:$H$121,6,0),""))</f>
        <v/>
      </c>
      <c r="H23" s="74" t="str">
        <f>IFERROR(IF(AND(C23&lt;&gt;"",ISNUMBER(E23),ISNUMBER(F23),F23&gt;0,ISNUMBER(G23)),E23/F23*G23,""),"")</f>
        <v/>
      </c>
      <c r="I23" s="63"/>
      <c r="J23" s="63"/>
    </row>
    <row r="24" spans="2:11" ht="16.5" customHeight="1">
      <c r="B24" s="71">
        <v>14</v>
      </c>
      <c r="C24" s="68"/>
      <c r="D24" s="72" t="s">
        <v>295</v>
      </c>
      <c r="E24" s="69"/>
      <c r="F24" s="70"/>
      <c r="G24" s="73" t="str">
        <f>IFERROR(VLOOKUP(C24,'🧪 프렙 원가표'!$C$8:$D$18,2,0),IFERROR(VLOOKUP(C24,'🥬 식재료 DB'!$C$7:$H$121,6,0),""))</f>
        <v/>
      </c>
      <c r="H24" s="74" t="str">
        <f>IFERROR(IF(AND(C24&lt;&gt;"",ISNUMBER(E24),ISNUMBER(F24),F24&gt;0,ISNUMBER(G24)),E24/F24*G24,""),"")</f>
        <v/>
      </c>
      <c r="I24" s="77"/>
      <c r="J24" s="77"/>
    </row>
    <row r="25" spans="2:11" ht="16.5" customHeight="1">
      <c r="B25" s="71">
        <v>15</v>
      </c>
      <c r="C25" s="68"/>
      <c r="D25" s="72" t="s">
        <v>295</v>
      </c>
      <c r="E25" s="69"/>
      <c r="F25" s="70"/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51" t="s">
        <v>426</v>
      </c>
      <c r="D29" s="50"/>
      <c r="E29" s="52">
        <v>4000</v>
      </c>
      <c r="F29" s="53">
        <f>IFERROR(SUM(H31,H32,H33,H34,H35,H36,H37,H38,H39,H40,H41,H42,H44,H45,H46,H47,H48),0)</f>
        <v>26.666666666666664</v>
      </c>
      <c r="G29" s="54">
        <f>IFERROR(E29*'💰 고정비용 DB'!$D$22/'💰 고정비용 DB'!$D$25,0)</f>
        <v>2641.1882639203259</v>
      </c>
      <c r="H29" s="55">
        <f>IFERROR(G29-F29,"")</f>
        <v>2614.5215972536594</v>
      </c>
      <c r="I29" s="56">
        <f>IFERROR(H29/E29,"")</f>
        <v>0.65363039931341482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427</v>
      </c>
      <c r="D31" s="59" t="s">
        <v>292</v>
      </c>
      <c r="E31" s="60">
        <v>20</v>
      </c>
      <c r="F31" s="61">
        <v>1</v>
      </c>
      <c r="G31" s="25" t="str">
        <f>IFERROR(VLOOKUP(C31,'🥬 식재료 DB'!$C$7:$H$121,6,0),"")</f>
        <v/>
      </c>
      <c r="H31" s="62" t="str">
        <f t="shared" ref="H31:H42" si="1">IFERROR(IF(AND(C31&lt;&gt;"",ISNUMBER(E31),ISNUMBER(F31),F31&gt;0,ISNUMBER(G31)),E31/F31*G31,""),"")</f>
        <v/>
      </c>
      <c r="I31" s="63"/>
      <c r="J31" s="63"/>
    </row>
    <row r="32" spans="2:11" ht="16.5" customHeight="1">
      <c r="B32" s="58">
        <v>2</v>
      </c>
      <c r="C32" s="133" t="s">
        <v>169</v>
      </c>
      <c r="D32" s="59" t="s">
        <v>292</v>
      </c>
      <c r="E32" s="134">
        <v>20</v>
      </c>
      <c r="F32" s="135">
        <v>1</v>
      </c>
      <c r="G32" s="25">
        <f>IFERROR(VLOOKUP(C32,'🥬 식재료 DB'!$C$7:$H$121,6,0),"")</f>
        <v>1.3333333333333333</v>
      </c>
      <c r="H32" s="62">
        <f t="shared" si="1"/>
        <v>26.666666666666664</v>
      </c>
      <c r="I32" s="136"/>
      <c r="J32" s="136"/>
    </row>
    <row r="33" spans="2:11" ht="16.5" customHeight="1">
      <c r="B33" s="58">
        <v>3</v>
      </c>
      <c r="C33" s="6" t="s">
        <v>428</v>
      </c>
      <c r="D33" s="59" t="s">
        <v>292</v>
      </c>
      <c r="E33" s="60">
        <v>50</v>
      </c>
      <c r="F33" s="61">
        <v>1</v>
      </c>
      <c r="G33" s="25" t="str">
        <f>IFERROR(VLOOKUP(C33,'🥬 식재료 DB'!$C$7:$H$121,6,0),"")</f>
        <v/>
      </c>
      <c r="H33" s="62" t="str">
        <f t="shared" si="1"/>
        <v/>
      </c>
      <c r="I33" s="63"/>
      <c r="J33" s="63"/>
    </row>
    <row r="34" spans="2:11" ht="16.5" customHeight="1">
      <c r="B34" s="58">
        <v>4</v>
      </c>
      <c r="C34" s="68"/>
      <c r="D34" s="59" t="s">
        <v>292</v>
      </c>
      <c r="E34" s="69"/>
      <c r="F34" s="70"/>
      <c r="G34" s="25" t="str">
        <f>IFERROR(VLOOKUP(C34,'🥬 식재료 DB'!$C$7:$H$121,6,0),"")</f>
        <v/>
      </c>
      <c r="H34" s="62" t="str">
        <f t="shared" si="1"/>
        <v/>
      </c>
      <c r="I34" s="136"/>
      <c r="J34" s="136"/>
    </row>
    <row r="35" spans="2:11" ht="16.5" customHeight="1">
      <c r="B35" s="58">
        <v>5</v>
      </c>
      <c r="C35" s="68"/>
      <c r="D35" s="59" t="s">
        <v>292</v>
      </c>
      <c r="E35" s="69"/>
      <c r="F35" s="70"/>
      <c r="G35" s="25" t="str">
        <f>IFERROR(VLOOKUP(C35,'🥬 식재료 DB'!$C$7:$H$121,6,0),"")</f>
        <v/>
      </c>
      <c r="H35" s="62" t="str">
        <f t="shared" si="1"/>
        <v/>
      </c>
      <c r="I35" s="63"/>
      <c r="J35" s="63"/>
    </row>
    <row r="36" spans="2:11" ht="16.5" customHeight="1">
      <c r="B36" s="58">
        <v>6</v>
      </c>
      <c r="C36" s="68"/>
      <c r="D36" s="59" t="s">
        <v>292</v>
      </c>
      <c r="E36" s="69"/>
      <c r="F36" s="70"/>
      <c r="G36" s="25" t="str">
        <f>IFERROR(VLOOKUP(C36,'🥬 식재료 DB'!$C$7:$H$121,6,0),"")</f>
        <v/>
      </c>
      <c r="H36" s="62" t="str">
        <f t="shared" si="1"/>
        <v/>
      </c>
      <c r="I36" s="136"/>
      <c r="J36" s="136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136"/>
      <c r="J38" s="136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136"/>
      <c r="J40" s="136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136"/>
      <c r="J42" s="136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" t="s">
        <v>420</v>
      </c>
      <c r="D44" s="72" t="s">
        <v>295</v>
      </c>
      <c r="E44" s="60">
        <v>250</v>
      </c>
      <c r="F44" s="61">
        <v>1</v>
      </c>
      <c r="G44" s="73" t="str">
        <f>IFERROR(VLOOKUP(C44,'🧪 프렙 원가표'!$C$8:$D$18,2,0),IFERROR(VLOOKUP(C44,'🥬 식재료 DB'!$C$7:$H$121,6,0),""))</f>
        <v/>
      </c>
      <c r="H44" s="74" t="str">
        <f>IFERROR(IF(AND(C44&lt;&gt;"",ISNUMBER(E44),ISNUMBER(F44),F44&gt;0,ISNUMBER(G44)),E44/F44*G44,""),"")</f>
        <v/>
      </c>
      <c r="I44" s="63"/>
      <c r="J44" s="63"/>
    </row>
    <row r="45" spans="2:11" ht="16.5" customHeight="1">
      <c r="B45" s="71">
        <v>14</v>
      </c>
      <c r="C45" s="68"/>
      <c r="D45" s="72" t="s">
        <v>295</v>
      </c>
      <c r="E45" s="69"/>
      <c r="F45" s="70"/>
      <c r="G45" s="73" t="str">
        <f>IFERROR(VLOOKUP(C45,'🧪 프렙 원가표'!$C$8:$D$18,2,0),IFERROR(VLOOKUP(C45,'🥬 식재료 DB'!$C$7:$H$121,6,0),""))</f>
        <v/>
      </c>
      <c r="H45" s="74" t="str">
        <f>IFERROR(IF(AND(C45&lt;&gt;"",ISNUMBER(E45),ISNUMBER(F45),F45&gt;0,ISNUMBER(G45)),E45/F45*G45,""),"")</f>
        <v/>
      </c>
      <c r="I45" s="77"/>
      <c r="J45" s="77"/>
    </row>
    <row r="46" spans="2:11" ht="16.5" customHeight="1">
      <c r="B46" s="71">
        <v>15</v>
      </c>
      <c r="C46" s="68"/>
      <c r="D46" s="72" t="s">
        <v>295</v>
      </c>
      <c r="E46" s="69"/>
      <c r="F46" s="70"/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51" t="s">
        <v>429</v>
      </c>
      <c r="D50" s="50"/>
      <c r="E50" s="52">
        <v>4000</v>
      </c>
      <c r="F50" s="53">
        <f>IFERROR(SUM(H52,H53,H54,H55,H56,H57,H58,H59,H60,H61,H62,H63,H65,H66,H67,H68,H69),0)</f>
        <v>0</v>
      </c>
      <c r="G50" s="54">
        <f>IFERROR(E50*'💰 고정비용 DB'!$D$22/'💰 고정비용 DB'!$D$25,0)</f>
        <v>2641.1882639203259</v>
      </c>
      <c r="H50" s="55">
        <f>IFERROR(G50-F50,"")</f>
        <v>2641.1882639203259</v>
      </c>
      <c r="I50" s="56">
        <f>IFERROR(H50/E50,"")</f>
        <v>0.66029706598008142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8"/>
      <c r="D52" s="59" t="s">
        <v>292</v>
      </c>
      <c r="E52" s="69"/>
      <c r="F52" s="70"/>
      <c r="G52" s="25" t="str">
        <f>IFERROR(VLOOKUP(C52,'🥬 식재료 DB'!$C$7:$H$121,6,0),"")</f>
        <v/>
      </c>
      <c r="H52" s="62" t="str">
        <f t="shared" ref="H52:H63" si="2">IFERROR(IF(AND(C52&lt;&gt;"",ISNUMBER(E52),ISNUMBER(F52),F52&gt;0,ISNUMBER(G52)),E52/F52*G52,""),"")</f>
        <v/>
      </c>
      <c r="I52" s="63"/>
      <c r="J52" s="63"/>
    </row>
    <row r="53" spans="2:11" ht="16.5" customHeight="1">
      <c r="B53" s="58">
        <v>2</v>
      </c>
      <c r="C53" s="68"/>
      <c r="D53" s="59" t="s">
        <v>292</v>
      </c>
      <c r="E53" s="69"/>
      <c r="F53" s="70"/>
      <c r="G53" s="25" t="str">
        <f>IFERROR(VLOOKUP(C53,'🥬 식재료 DB'!$C$7:$H$121,6,0),"")</f>
        <v/>
      </c>
      <c r="H53" s="62" t="str">
        <f t="shared" si="2"/>
        <v/>
      </c>
      <c r="I53" s="136"/>
      <c r="J53" s="136"/>
    </row>
    <row r="54" spans="2:11" ht="16.5" customHeight="1">
      <c r="B54" s="58">
        <v>3</v>
      </c>
      <c r="C54" s="68"/>
      <c r="D54" s="59" t="s">
        <v>292</v>
      </c>
      <c r="E54" s="69"/>
      <c r="F54" s="70"/>
      <c r="G54" s="25" t="str">
        <f>IFERROR(VLOOKUP(C54,'🥬 식재료 DB'!$C$7:$H$121,6,0),"")</f>
        <v/>
      </c>
      <c r="H54" s="62" t="str">
        <f t="shared" si="2"/>
        <v/>
      </c>
      <c r="I54" s="63"/>
      <c r="J54" s="63"/>
    </row>
    <row r="55" spans="2:11" ht="16.5" customHeight="1">
      <c r="B55" s="58">
        <v>4</v>
      </c>
      <c r="C55" s="68"/>
      <c r="D55" s="59" t="s">
        <v>292</v>
      </c>
      <c r="E55" s="69"/>
      <c r="F55" s="70"/>
      <c r="G55" s="25" t="str">
        <f>IFERROR(VLOOKUP(C55,'🥬 식재료 DB'!$C$7:$H$121,6,0),"")</f>
        <v/>
      </c>
      <c r="H55" s="62" t="str">
        <f t="shared" si="2"/>
        <v/>
      </c>
      <c r="I55" s="136"/>
      <c r="J55" s="136"/>
    </row>
    <row r="56" spans="2:11" ht="16.5" customHeight="1">
      <c r="B56" s="58">
        <v>5</v>
      </c>
      <c r="C56" s="68"/>
      <c r="D56" s="59" t="s">
        <v>292</v>
      </c>
      <c r="E56" s="69"/>
      <c r="F56" s="70"/>
      <c r="G56" s="25" t="str">
        <f>IFERROR(VLOOKUP(C56,'🥬 식재료 DB'!$C$7:$H$121,6,0),"")</f>
        <v/>
      </c>
      <c r="H56" s="62" t="str">
        <f t="shared" si="2"/>
        <v/>
      </c>
      <c r="I56" s="63"/>
      <c r="J56" s="63"/>
    </row>
    <row r="57" spans="2:11" ht="16.5" customHeight="1">
      <c r="B57" s="58">
        <v>6</v>
      </c>
      <c r="C57" s="68"/>
      <c r="D57" s="59" t="s">
        <v>292</v>
      </c>
      <c r="E57" s="69"/>
      <c r="F57" s="70"/>
      <c r="G57" s="25" t="str">
        <f>IFERROR(VLOOKUP(C57,'🥬 식재료 DB'!$C$7:$H$121,6,0),"")</f>
        <v/>
      </c>
      <c r="H57" s="62" t="str">
        <f t="shared" si="2"/>
        <v/>
      </c>
      <c r="I57" s="136"/>
      <c r="J57" s="136"/>
    </row>
    <row r="58" spans="2:11" ht="16.5" customHeight="1">
      <c r="B58" s="58">
        <v>7</v>
      </c>
      <c r="C58" s="68"/>
      <c r="D58" s="59" t="s">
        <v>292</v>
      </c>
      <c r="E58" s="69"/>
      <c r="F58" s="70"/>
      <c r="G58" s="25" t="str">
        <f>IFERROR(VLOOKUP(C58,'🥬 식재료 DB'!$C$7:$H$121,6,0),"")</f>
        <v/>
      </c>
      <c r="H58" s="62" t="str">
        <f t="shared" si="2"/>
        <v/>
      </c>
      <c r="I58" s="63"/>
      <c r="J58" s="63"/>
    </row>
    <row r="59" spans="2:11" ht="16.5" customHeight="1">
      <c r="B59" s="58">
        <v>8</v>
      </c>
      <c r="C59" s="68"/>
      <c r="D59" s="59" t="s">
        <v>292</v>
      </c>
      <c r="E59" s="69"/>
      <c r="F59" s="70"/>
      <c r="G59" s="25" t="str">
        <f>IFERROR(VLOOKUP(C59,'🥬 식재료 DB'!$C$7:$H$121,6,0),"")</f>
        <v/>
      </c>
      <c r="H59" s="62" t="str">
        <f t="shared" si="2"/>
        <v/>
      </c>
      <c r="I59" s="136"/>
      <c r="J59" s="136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136"/>
      <c r="J61" s="136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136"/>
      <c r="J63" s="136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8"/>
      <c r="D65" s="72" t="s">
        <v>295</v>
      </c>
      <c r="E65" s="69"/>
      <c r="F65" s="70"/>
      <c r="G65" s="73" t="str">
        <f>IFERROR(VLOOKUP(C65,'🧪 프렙 원가표'!$C$8:$D$18,2,0),IFERROR(VLOOKUP(C65,'🥬 식재료 DB'!$C$7:$H$121,6,0),""))</f>
        <v/>
      </c>
      <c r="H65" s="74" t="str">
        <f>IFERROR(IF(AND(C65&lt;&gt;"",ISNUMBER(E65),ISNUMBER(F65),F65&gt;0,ISNUMBER(G65)),E65/F65*G65,""),"")</f>
        <v/>
      </c>
      <c r="I65" s="63"/>
      <c r="J65" s="63"/>
    </row>
    <row r="66" spans="2:11" ht="16.5" customHeight="1">
      <c r="B66" s="71">
        <v>14</v>
      </c>
      <c r="C66" s="68"/>
      <c r="D66" s="72" t="s">
        <v>295</v>
      </c>
      <c r="E66" s="69"/>
      <c r="F66" s="70"/>
      <c r="G66" s="73" t="str">
        <f>IFERROR(VLOOKUP(C66,'🧪 프렙 원가표'!$C$8:$D$18,2,0),IFERROR(VLOOKUP(C66,'🥬 식재료 DB'!$C$7:$H$121,6,0),""))</f>
        <v/>
      </c>
      <c r="H66" s="74" t="str">
        <f>IFERROR(IF(AND(C66&lt;&gt;"",ISNUMBER(E66),ISNUMBER(F66),F66&gt;0,ISNUMBER(G66)),E66/F66*G66,""),"")</f>
        <v/>
      </c>
      <c r="I66" s="77"/>
      <c r="J66" s="77"/>
    </row>
    <row r="67" spans="2:11" ht="16.5" customHeight="1">
      <c r="B67" s="71">
        <v>15</v>
      </c>
      <c r="C67" s="68"/>
      <c r="D67" s="72" t="s">
        <v>295</v>
      </c>
      <c r="E67" s="69"/>
      <c r="F67" s="70"/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68"/>
      <c r="D68" s="72" t="s">
        <v>295</v>
      </c>
      <c r="E68" s="69"/>
      <c r="F68" s="70"/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2:11" ht="27" customHeight="1">
      <c r="B71" s="50"/>
      <c r="C71" s="51" t="s">
        <v>430</v>
      </c>
      <c r="D71" s="50"/>
      <c r="E71" s="52">
        <v>4000</v>
      </c>
      <c r="F71" s="53">
        <f>IFERROR(SUM(H73,H74,H75,H76,H77,H78,H79,H80,H81,H82,H83,H84,H86,H87,H88,H89,H90),0)</f>
        <v>26.666666666666664</v>
      </c>
      <c r="G71" s="54">
        <f>IFERROR(E71*'💰 고정비용 DB'!$D$22/'💰 고정비용 DB'!$D$25,0)</f>
        <v>2641.1882639203259</v>
      </c>
      <c r="H71" s="55">
        <f>IFERROR(G71-F71,"")</f>
        <v>2614.5215972536594</v>
      </c>
      <c r="I71" s="56">
        <f>IFERROR(H71/E71,"")</f>
        <v>0.65363039931341482</v>
      </c>
      <c r="J71" s="57" t="str">
        <f>IF(I71="","⬜ 미입력",IF(I71&lt;=0.2,"✅ 양호",IF(I71&lt;=0.32,"🟡 주의","🔴 과다")))</f>
        <v>🔴 과다</v>
      </c>
      <c r="K71" s="50"/>
    </row>
    <row r="72" spans="2:11" ht="12.75" customHeight="1">
      <c r="B72" s="204" t="s">
        <v>291</v>
      </c>
      <c r="C72" s="204"/>
      <c r="D72" s="204"/>
      <c r="E72" s="204"/>
      <c r="F72" s="204"/>
      <c r="G72" s="204"/>
      <c r="H72" s="204"/>
      <c r="I72" s="204"/>
      <c r="J72" s="204"/>
      <c r="K72" s="204"/>
    </row>
    <row r="73" spans="2:11" ht="16.5" customHeight="1">
      <c r="B73" s="58">
        <v>1</v>
      </c>
      <c r="C73" s="6" t="s">
        <v>415</v>
      </c>
      <c r="D73" s="59" t="s">
        <v>292</v>
      </c>
      <c r="E73" s="60">
        <v>20</v>
      </c>
      <c r="F73" s="61">
        <v>1</v>
      </c>
      <c r="G73" s="25" t="str">
        <f>IFERROR(VLOOKUP(C73,'🥬 식재료 DB'!$C$7:$H$121,6,0),"")</f>
        <v/>
      </c>
      <c r="H73" s="62" t="str">
        <f t="shared" ref="H73:H84" si="3">IFERROR(IF(AND(C73&lt;&gt;"",ISNUMBER(E73),ISNUMBER(F73),F73&gt;0,ISNUMBER(G73)),E73/F73*G73,""),"")</f>
        <v/>
      </c>
      <c r="I73" s="63"/>
      <c r="J73" s="63"/>
    </row>
    <row r="74" spans="2:11" ht="16.5" customHeight="1">
      <c r="B74" s="58">
        <v>2</v>
      </c>
      <c r="C74" s="133" t="s">
        <v>169</v>
      </c>
      <c r="D74" s="59" t="s">
        <v>292</v>
      </c>
      <c r="E74" s="134">
        <v>20</v>
      </c>
      <c r="F74" s="135">
        <v>1</v>
      </c>
      <c r="G74" s="25">
        <f>IFERROR(VLOOKUP(C74,'🥬 식재료 DB'!$C$7:$H$121,6,0),"")</f>
        <v>1.3333333333333333</v>
      </c>
      <c r="H74" s="62">
        <f t="shared" si="3"/>
        <v>26.666666666666664</v>
      </c>
      <c r="I74" s="136"/>
      <c r="J74" s="136"/>
    </row>
    <row r="75" spans="2:11" ht="16.5" customHeight="1">
      <c r="B75" s="58">
        <v>3</v>
      </c>
      <c r="C75" s="6" t="s">
        <v>428</v>
      </c>
      <c r="D75" s="59" t="s">
        <v>292</v>
      </c>
      <c r="E75" s="60">
        <v>50</v>
      </c>
      <c r="F75" s="61">
        <v>1</v>
      </c>
      <c r="G75" s="25" t="str">
        <f>IFERROR(VLOOKUP(C75,'🥬 식재료 DB'!$C$7:$H$121,6,0),"")</f>
        <v/>
      </c>
      <c r="H75" s="62" t="str">
        <f t="shared" si="3"/>
        <v/>
      </c>
      <c r="I75" s="63"/>
      <c r="J75" s="63"/>
    </row>
    <row r="76" spans="2:11" ht="16.5" customHeight="1">
      <c r="B76" s="58">
        <v>4</v>
      </c>
      <c r="C76" s="68"/>
      <c r="D76" s="59" t="s">
        <v>292</v>
      </c>
      <c r="E76" s="69"/>
      <c r="F76" s="70"/>
      <c r="G76" s="25" t="str">
        <f>IFERROR(VLOOKUP(C76,'🥬 식재료 DB'!$C$7:$H$121,6,0),"")</f>
        <v/>
      </c>
      <c r="H76" s="62" t="str">
        <f t="shared" si="3"/>
        <v/>
      </c>
      <c r="I76" s="136"/>
      <c r="J76" s="136"/>
    </row>
    <row r="77" spans="2:11" ht="16.5" customHeight="1">
      <c r="B77" s="58">
        <v>5</v>
      </c>
      <c r="C77" s="68"/>
      <c r="D77" s="59" t="s">
        <v>292</v>
      </c>
      <c r="E77" s="69"/>
      <c r="F77" s="70"/>
      <c r="G77" s="25" t="str">
        <f>IFERROR(VLOOKUP(C77,'🥬 식재료 DB'!$C$7:$H$121,6,0),"")</f>
        <v/>
      </c>
      <c r="H77" s="62" t="str">
        <f t="shared" si="3"/>
        <v/>
      </c>
      <c r="I77" s="63"/>
      <c r="J77" s="63"/>
    </row>
    <row r="78" spans="2:11" ht="16.5" customHeight="1">
      <c r="B78" s="58">
        <v>6</v>
      </c>
      <c r="C78" s="68"/>
      <c r="D78" s="59" t="s">
        <v>292</v>
      </c>
      <c r="E78" s="69"/>
      <c r="F78" s="70"/>
      <c r="G78" s="25" t="str">
        <f>IFERROR(VLOOKUP(C78,'🥬 식재료 DB'!$C$7:$H$121,6,0),"")</f>
        <v/>
      </c>
      <c r="H78" s="62" t="str">
        <f t="shared" si="3"/>
        <v/>
      </c>
      <c r="I78" s="136"/>
      <c r="J78" s="136"/>
    </row>
    <row r="79" spans="2:11" ht="16.5" customHeight="1">
      <c r="B79" s="58">
        <v>7</v>
      </c>
      <c r="C79" s="68"/>
      <c r="D79" s="59" t="s">
        <v>292</v>
      </c>
      <c r="E79" s="69"/>
      <c r="F79" s="70"/>
      <c r="G79" s="25" t="str">
        <f>IFERROR(VLOOKUP(C79,'🥬 식재료 DB'!$C$7:$H$121,6,0),"")</f>
        <v/>
      </c>
      <c r="H79" s="62" t="str">
        <f t="shared" si="3"/>
        <v/>
      </c>
      <c r="I79" s="63"/>
      <c r="J79" s="63"/>
    </row>
    <row r="80" spans="2:11" ht="16.5" customHeight="1">
      <c r="B80" s="58">
        <v>8</v>
      </c>
      <c r="C80" s="68"/>
      <c r="D80" s="59" t="s">
        <v>292</v>
      </c>
      <c r="E80" s="69"/>
      <c r="F80" s="70"/>
      <c r="G80" s="25" t="str">
        <f>IFERROR(VLOOKUP(C80,'🥬 식재료 DB'!$C$7:$H$121,6,0),"")</f>
        <v/>
      </c>
      <c r="H80" s="62" t="str">
        <f t="shared" si="3"/>
        <v/>
      </c>
      <c r="I80" s="136"/>
      <c r="J80" s="136"/>
    </row>
    <row r="81" spans="2:11" ht="16.5" customHeight="1">
      <c r="B81" s="58">
        <v>9</v>
      </c>
      <c r="C81" s="68"/>
      <c r="D81" s="59" t="s">
        <v>292</v>
      </c>
      <c r="E81" s="69"/>
      <c r="F81" s="70"/>
      <c r="G81" s="25" t="str">
        <f>IFERROR(VLOOKUP(C81,'🥬 식재료 DB'!$C$7:$H$121,6,0),"")</f>
        <v/>
      </c>
      <c r="H81" s="62" t="str">
        <f t="shared" si="3"/>
        <v/>
      </c>
      <c r="I81" s="63"/>
      <c r="J81" s="63"/>
    </row>
    <row r="82" spans="2:11" ht="16.5" customHeight="1">
      <c r="B82" s="58">
        <v>10</v>
      </c>
      <c r="C82" s="68"/>
      <c r="D82" s="59" t="s">
        <v>292</v>
      </c>
      <c r="E82" s="69"/>
      <c r="F82" s="70"/>
      <c r="G82" s="25" t="str">
        <f>IFERROR(VLOOKUP(C82,'🥬 식재료 DB'!$C$7:$H$121,6,0),"")</f>
        <v/>
      </c>
      <c r="H82" s="62" t="str">
        <f t="shared" si="3"/>
        <v/>
      </c>
      <c r="I82" s="136"/>
      <c r="J82" s="136"/>
    </row>
    <row r="83" spans="2:11" ht="16.5" customHeight="1">
      <c r="B83" s="58">
        <v>11</v>
      </c>
      <c r="C83" s="68"/>
      <c r="D83" s="59" t="s">
        <v>292</v>
      </c>
      <c r="E83" s="69"/>
      <c r="F83" s="70"/>
      <c r="G83" s="25" t="str">
        <f>IFERROR(VLOOKUP(C83,'🥬 식재료 DB'!$C$7:$H$121,6,0),"")</f>
        <v/>
      </c>
      <c r="H83" s="62" t="str">
        <f t="shared" si="3"/>
        <v/>
      </c>
      <c r="I83" s="63"/>
      <c r="J83" s="63"/>
    </row>
    <row r="84" spans="2:11" ht="16.5" customHeight="1">
      <c r="B84" s="58">
        <v>12</v>
      </c>
      <c r="C84" s="68"/>
      <c r="D84" s="59" t="s">
        <v>292</v>
      </c>
      <c r="E84" s="69"/>
      <c r="F84" s="70"/>
      <c r="G84" s="25" t="str">
        <f>IFERROR(VLOOKUP(C84,'🥬 식재료 DB'!$C$7:$H$121,6,0),"")</f>
        <v/>
      </c>
      <c r="H84" s="62" t="str">
        <f t="shared" si="3"/>
        <v/>
      </c>
      <c r="I84" s="136"/>
      <c r="J84" s="136"/>
    </row>
    <row r="85" spans="2:11" ht="12.75" customHeight="1">
      <c r="B85" s="203" t="s">
        <v>293</v>
      </c>
      <c r="C85" s="203"/>
      <c r="D85" s="203"/>
      <c r="E85" s="203"/>
      <c r="F85" s="203"/>
      <c r="G85" s="203"/>
      <c r="H85" s="203"/>
      <c r="I85" s="203"/>
      <c r="J85" s="203"/>
      <c r="K85" s="203"/>
    </row>
    <row r="86" spans="2:11" ht="16.5" customHeight="1">
      <c r="B86" s="71">
        <v>13</v>
      </c>
      <c r="C86" s="6" t="s">
        <v>420</v>
      </c>
      <c r="D86" s="72" t="s">
        <v>295</v>
      </c>
      <c r="E86" s="60">
        <v>250</v>
      </c>
      <c r="F86" s="61">
        <v>1</v>
      </c>
      <c r="G86" s="73" t="str">
        <f>IFERROR(VLOOKUP(C86,'🧪 프렙 원가표'!$C$8:$D$18,2,0),IFERROR(VLOOKUP(C86,'🥬 식재료 DB'!$C$7:$H$121,6,0),""))</f>
        <v/>
      </c>
      <c r="H86" s="74" t="str">
        <f>IFERROR(IF(AND(C86&lt;&gt;"",ISNUMBER(E86),ISNUMBER(F86),F86&gt;0,ISNUMBER(G86)),E86/F86*G86,""),"")</f>
        <v/>
      </c>
      <c r="I86" s="63"/>
      <c r="J86" s="63"/>
    </row>
    <row r="87" spans="2:11" ht="16.5" customHeight="1">
      <c r="B87" s="71">
        <v>14</v>
      </c>
      <c r="C87" s="68"/>
      <c r="D87" s="72" t="s">
        <v>295</v>
      </c>
      <c r="E87" s="69"/>
      <c r="F87" s="70"/>
      <c r="G87" s="73" t="str">
        <f>IFERROR(VLOOKUP(C87,'🧪 프렙 원가표'!$C$8:$D$18,2,0),IFERROR(VLOOKUP(C87,'🥬 식재료 DB'!$C$7:$H$121,6,0),""))</f>
        <v/>
      </c>
      <c r="H87" s="74" t="str">
        <f>IFERROR(IF(AND(C87&lt;&gt;"",ISNUMBER(E87),ISNUMBER(F87),F87&gt;0,ISNUMBER(G87)),E87/F87*G87,""),"")</f>
        <v/>
      </c>
      <c r="I87" s="77"/>
      <c r="J87" s="77"/>
    </row>
    <row r="88" spans="2:11" ht="16.5" customHeight="1">
      <c r="B88" s="71">
        <v>15</v>
      </c>
      <c r="C88" s="68"/>
      <c r="D88" s="72" t="s">
        <v>295</v>
      </c>
      <c r="E88" s="69"/>
      <c r="F88" s="70"/>
      <c r="G88" s="73" t="str">
        <f>IFERROR(VLOOKUP(C88,'🧪 프렙 원가표'!$C$8:$D$18,2,0),IFERROR(VLOOKUP(C88,'🥬 식재료 DB'!$C$7:$H$121,6,0),""))</f>
        <v/>
      </c>
      <c r="H88" s="74" t="str">
        <f>IFERROR(IF(AND(C88&lt;&gt;"",ISNUMBER(E88),ISNUMBER(F88),F88&gt;0,ISNUMBER(G88)),E88/F88*G88,""),"")</f>
        <v/>
      </c>
      <c r="I88" s="63"/>
      <c r="J88" s="63"/>
    </row>
    <row r="89" spans="2:11" ht="16.5" customHeight="1">
      <c r="B89" s="71">
        <v>16</v>
      </c>
      <c r="C89" s="68"/>
      <c r="D89" s="72" t="s">
        <v>295</v>
      </c>
      <c r="E89" s="69"/>
      <c r="F89" s="70"/>
      <c r="G89" s="73" t="str">
        <f>IFERROR(VLOOKUP(C89,'🧪 프렙 원가표'!$C$8:$D$18,2,0),IFERROR(VLOOKUP(C89,'🥬 식재료 DB'!$C$7:$H$121,6,0),""))</f>
        <v/>
      </c>
      <c r="H89" s="74" t="str">
        <f>IFERROR(IF(AND(C89&lt;&gt;"",ISNUMBER(E89),ISNUMBER(F89),F89&gt;0,ISNUMBER(G89)),E89/F89*G89,""),"")</f>
        <v/>
      </c>
      <c r="I89" s="77"/>
      <c r="J89" s="77"/>
    </row>
    <row r="90" spans="2:11" ht="16.5" customHeight="1">
      <c r="B90" s="71">
        <v>17</v>
      </c>
      <c r="C90" s="68"/>
      <c r="D90" s="72" t="s">
        <v>295</v>
      </c>
      <c r="E90" s="69"/>
      <c r="F90" s="70"/>
      <c r="G90" s="73" t="str">
        <f>IFERROR(VLOOKUP(C90,'🧪 프렙 원가표'!$C$8:$D$18,2,0),IFERROR(VLOOKUP(C90,'🥬 식재료 DB'!$C$7:$H$121,6,0),""))</f>
        <v/>
      </c>
      <c r="H90" s="74" t="str">
        <f>IFERROR(IF(AND(C90&lt;&gt;"",ISNUMBER(E90),ISNUMBER(F90),F90&gt;0,ISNUMBER(G90)),E90/F90*G90,""),"")</f>
        <v/>
      </c>
      <c r="I90" s="63"/>
      <c r="J90" s="63"/>
    </row>
    <row r="91" spans="2:11" ht="3.75" customHeight="1">
      <c r="B91" s="78"/>
      <c r="C91" s="78"/>
      <c r="D91" s="78"/>
      <c r="E91" s="78"/>
      <c r="F91" s="78"/>
      <c r="G91" s="78"/>
      <c r="H91" s="78"/>
      <c r="I91" s="78"/>
      <c r="J91" s="78"/>
      <c r="K91" s="78"/>
    </row>
    <row r="92" spans="2:11" ht="27" customHeight="1">
      <c r="B92" s="50"/>
      <c r="C92" s="51" t="s">
        <v>431</v>
      </c>
      <c r="D92" s="50"/>
      <c r="E92" s="52">
        <v>4000</v>
      </c>
      <c r="F92" s="53">
        <f>IFERROR(SUM(H94,H95,H96,H97,H98,H99,H100,H101,H102,H103,H104,H105,H107,H108,H109,H110,H111),0)</f>
        <v>212.05555555555554</v>
      </c>
      <c r="G92" s="54">
        <f>IFERROR(E92*'💰 고정비용 DB'!$D$22/'💰 고정비용 DB'!$D$25,0)</f>
        <v>2641.1882639203259</v>
      </c>
      <c r="H92" s="55">
        <f>IFERROR(F92+G92,"")</f>
        <v>2853.2438194758815</v>
      </c>
      <c r="I92" s="56">
        <f>IFERROR(H92/E92,"")</f>
        <v>0.71331095486897034</v>
      </c>
      <c r="J92" s="57" t="str">
        <f>IF(I92="","⬜ 미입력",IF(I92&lt;=0.2,"✅ 양호",IF(I92&lt;=0.32,"🟡 주의","🔴 과다")))</f>
        <v>🔴 과다</v>
      </c>
      <c r="K92" s="50"/>
    </row>
    <row r="93" spans="2:11" ht="12.75" customHeight="1">
      <c r="B93" s="204" t="s">
        <v>291</v>
      </c>
      <c r="C93" s="204"/>
      <c r="D93" s="204"/>
      <c r="E93" s="204"/>
      <c r="F93" s="204"/>
      <c r="G93" s="204"/>
      <c r="H93" s="204"/>
      <c r="I93" s="204"/>
      <c r="J93" s="204"/>
      <c r="K93" s="204"/>
    </row>
    <row r="94" spans="2:11" ht="16.5" customHeight="1">
      <c r="B94" s="58">
        <v>1</v>
      </c>
      <c r="C94" s="17" t="s">
        <v>432</v>
      </c>
      <c r="D94" s="59" t="s">
        <v>292</v>
      </c>
      <c r="E94" s="60">
        <v>10</v>
      </c>
      <c r="F94" s="61">
        <v>1</v>
      </c>
      <c r="G94" s="25">
        <f>IFERROR(VLOOKUP(C94,'🥬 식재료 DB'!$C$7:$H$121,6,0),"")</f>
        <v>18.888888888888889</v>
      </c>
      <c r="H94" s="62">
        <f t="shared" ref="H94:H105" si="4">IFERROR(IF(AND(C94&lt;&gt;"",ISNUMBER(E94),ISNUMBER(F94),F94&gt;0,ISNUMBER(G94)),E94/F94*G94,""),"")</f>
        <v>188.88888888888889</v>
      </c>
      <c r="I94" s="63"/>
      <c r="J94" s="63"/>
    </row>
    <row r="95" spans="2:11" ht="16.5" customHeight="1">
      <c r="B95" s="58">
        <v>2</v>
      </c>
      <c r="C95" s="133" t="s">
        <v>217</v>
      </c>
      <c r="D95" s="59" t="s">
        <v>292</v>
      </c>
      <c r="E95" s="134">
        <v>10</v>
      </c>
      <c r="F95" s="135">
        <v>1</v>
      </c>
      <c r="G95" s="25">
        <f>IFERROR(VLOOKUP(C95,'🥬 식재료 DB'!$C$7:$H$121,6,0),"")</f>
        <v>1.65</v>
      </c>
      <c r="H95" s="62">
        <f t="shared" si="4"/>
        <v>16.5</v>
      </c>
      <c r="I95" s="136"/>
      <c r="J95" s="136"/>
    </row>
    <row r="96" spans="2:11" ht="16.5" customHeight="1">
      <c r="B96" s="58">
        <v>3</v>
      </c>
      <c r="C96" s="6" t="s">
        <v>428</v>
      </c>
      <c r="D96" s="59" t="s">
        <v>292</v>
      </c>
      <c r="E96" s="60">
        <v>150</v>
      </c>
      <c r="F96" s="61">
        <v>1</v>
      </c>
      <c r="G96" s="25" t="str">
        <f>IFERROR(VLOOKUP(C96,'🥬 식재료 DB'!$C$7:$H$121,6,0),"")</f>
        <v/>
      </c>
      <c r="H96" s="62" t="str">
        <f t="shared" si="4"/>
        <v/>
      </c>
      <c r="I96" s="63"/>
      <c r="J96" s="63"/>
    </row>
    <row r="97" spans="2:11" ht="16.5" customHeight="1">
      <c r="B97" s="58">
        <v>4</v>
      </c>
      <c r="C97" s="133" t="s">
        <v>169</v>
      </c>
      <c r="D97" s="59" t="s">
        <v>292</v>
      </c>
      <c r="E97" s="134">
        <v>5</v>
      </c>
      <c r="F97" s="135">
        <v>1</v>
      </c>
      <c r="G97" s="25">
        <f>IFERROR(VLOOKUP(C97,'🥬 식재료 DB'!$C$7:$H$121,6,0),"")</f>
        <v>1.3333333333333333</v>
      </c>
      <c r="H97" s="62">
        <f t="shared" si="4"/>
        <v>6.6666666666666661</v>
      </c>
      <c r="I97" s="136"/>
      <c r="J97" s="136"/>
    </row>
    <row r="98" spans="2:11" ht="16.5" customHeight="1">
      <c r="B98" s="58">
        <v>5</v>
      </c>
      <c r="C98" s="68"/>
      <c r="D98" s="59" t="s">
        <v>292</v>
      </c>
      <c r="E98" s="69"/>
      <c r="F98" s="70"/>
      <c r="G98" s="25" t="str">
        <f>IFERROR(VLOOKUP(C98,'🥬 식재료 DB'!$C$7:$H$121,6,0),"")</f>
        <v/>
      </c>
      <c r="H98" s="62" t="str">
        <f t="shared" si="4"/>
        <v/>
      </c>
      <c r="I98" s="63"/>
      <c r="J98" s="63"/>
    </row>
    <row r="99" spans="2:11" ht="16.5" customHeight="1">
      <c r="B99" s="58">
        <v>6</v>
      </c>
      <c r="C99" s="68"/>
      <c r="D99" s="59" t="s">
        <v>292</v>
      </c>
      <c r="E99" s="69"/>
      <c r="F99" s="70"/>
      <c r="G99" s="25" t="str">
        <f>IFERROR(VLOOKUP(C99,'🥬 식재료 DB'!$C$7:$H$121,6,0),"")</f>
        <v/>
      </c>
      <c r="H99" s="62" t="str">
        <f t="shared" si="4"/>
        <v/>
      </c>
      <c r="I99" s="136"/>
      <c r="J99" s="136"/>
    </row>
    <row r="100" spans="2:11" ht="16.5" customHeight="1">
      <c r="B100" s="58">
        <v>7</v>
      </c>
      <c r="C100" s="68"/>
      <c r="D100" s="59" t="s">
        <v>292</v>
      </c>
      <c r="E100" s="69"/>
      <c r="F100" s="70"/>
      <c r="G100" s="25" t="str">
        <f>IFERROR(VLOOKUP(C100,'🥬 식재료 DB'!$C$7:$H$121,6,0),"")</f>
        <v/>
      </c>
      <c r="H100" s="62" t="str">
        <f t="shared" si="4"/>
        <v/>
      </c>
      <c r="I100" s="63"/>
      <c r="J100" s="63"/>
    </row>
    <row r="101" spans="2:11" ht="16.5" customHeight="1">
      <c r="B101" s="58">
        <v>8</v>
      </c>
      <c r="C101" s="68"/>
      <c r="D101" s="59" t="s">
        <v>292</v>
      </c>
      <c r="E101" s="69"/>
      <c r="F101" s="70"/>
      <c r="G101" s="25" t="str">
        <f>IFERROR(VLOOKUP(C101,'🥬 식재료 DB'!$C$7:$H$121,6,0),"")</f>
        <v/>
      </c>
      <c r="H101" s="62" t="str">
        <f t="shared" si="4"/>
        <v/>
      </c>
      <c r="I101" s="136"/>
      <c r="J101" s="136"/>
    </row>
    <row r="102" spans="2:11" ht="16.5" customHeight="1">
      <c r="B102" s="58">
        <v>9</v>
      </c>
      <c r="C102" s="68"/>
      <c r="D102" s="59" t="s">
        <v>292</v>
      </c>
      <c r="E102" s="69"/>
      <c r="F102" s="70"/>
      <c r="G102" s="25" t="str">
        <f>IFERROR(VLOOKUP(C102,'🥬 식재료 DB'!$C$7:$H$121,6,0),"")</f>
        <v/>
      </c>
      <c r="H102" s="62" t="str">
        <f t="shared" si="4"/>
        <v/>
      </c>
      <c r="I102" s="63"/>
      <c r="J102" s="63"/>
    </row>
    <row r="103" spans="2:11" ht="16.5" customHeight="1">
      <c r="B103" s="58">
        <v>10</v>
      </c>
      <c r="C103" s="68"/>
      <c r="D103" s="59" t="s">
        <v>292</v>
      </c>
      <c r="E103" s="69"/>
      <c r="F103" s="70"/>
      <c r="G103" s="25" t="str">
        <f>IFERROR(VLOOKUP(C103,'🥬 식재료 DB'!$C$7:$H$121,6,0),"")</f>
        <v/>
      </c>
      <c r="H103" s="62" t="str">
        <f t="shared" si="4"/>
        <v/>
      </c>
      <c r="I103" s="136"/>
      <c r="J103" s="136"/>
    </row>
    <row r="104" spans="2:11" ht="16.5" customHeight="1">
      <c r="B104" s="58">
        <v>11</v>
      </c>
      <c r="C104" s="68"/>
      <c r="D104" s="59" t="s">
        <v>292</v>
      </c>
      <c r="E104" s="69"/>
      <c r="F104" s="70"/>
      <c r="G104" s="25" t="str">
        <f>IFERROR(VLOOKUP(C104,'🥬 식재료 DB'!$C$7:$H$121,6,0),"")</f>
        <v/>
      </c>
      <c r="H104" s="62" t="str">
        <f t="shared" si="4"/>
        <v/>
      </c>
      <c r="I104" s="63"/>
      <c r="J104" s="63"/>
    </row>
    <row r="105" spans="2:11" ht="16.5" customHeight="1">
      <c r="B105" s="58">
        <v>12</v>
      </c>
      <c r="C105" s="68"/>
      <c r="D105" s="59" t="s">
        <v>292</v>
      </c>
      <c r="E105" s="69"/>
      <c r="F105" s="70"/>
      <c r="G105" s="25" t="str">
        <f>IFERROR(VLOOKUP(C105,'🥬 식재료 DB'!$C$7:$H$121,6,0),"")</f>
        <v/>
      </c>
      <c r="H105" s="62" t="str">
        <f t="shared" si="4"/>
        <v/>
      </c>
      <c r="I105" s="136"/>
      <c r="J105" s="136"/>
    </row>
    <row r="106" spans="2:11" ht="12.75" customHeight="1">
      <c r="B106" s="203" t="s">
        <v>293</v>
      </c>
      <c r="C106" s="203"/>
      <c r="D106" s="203"/>
      <c r="E106" s="203"/>
      <c r="F106" s="203"/>
      <c r="G106" s="203"/>
      <c r="H106" s="203"/>
      <c r="I106" s="203"/>
      <c r="J106" s="203"/>
      <c r="K106" s="203"/>
    </row>
    <row r="107" spans="2:11" ht="16.5" customHeight="1">
      <c r="B107" s="71">
        <v>13</v>
      </c>
      <c r="C107" s="68"/>
      <c r="D107" s="72" t="s">
        <v>295</v>
      </c>
      <c r="E107" s="69"/>
      <c r="F107" s="70"/>
      <c r="G107" s="73" t="str">
        <f>IFERROR(VLOOKUP(C107,'🧪 프렙 원가표'!$C$8:$D$18,2,0),IFERROR(VLOOKUP(C107,'🥬 식재료 DB'!$C$7:$H$121,6,0),""))</f>
        <v/>
      </c>
      <c r="H107" s="74" t="str">
        <f>IFERROR(IF(AND(C107&lt;&gt;"",ISNUMBER(E107),ISNUMBER(F107),F107&gt;0,ISNUMBER(G107)),E107/F107*G107,""),"")</f>
        <v/>
      </c>
      <c r="I107" s="63"/>
      <c r="J107" s="63"/>
    </row>
    <row r="108" spans="2:11" ht="16.5" customHeight="1">
      <c r="B108" s="71">
        <v>14</v>
      </c>
      <c r="C108" s="68"/>
      <c r="D108" s="72" t="s">
        <v>295</v>
      </c>
      <c r="E108" s="69"/>
      <c r="F108" s="70"/>
      <c r="G108" s="73" t="str">
        <f>IFERROR(VLOOKUP(C108,'🧪 프렙 원가표'!$C$8:$D$18,2,0),IFERROR(VLOOKUP(C108,'🥬 식재료 DB'!$C$7:$H$121,6,0),""))</f>
        <v/>
      </c>
      <c r="H108" s="74" t="str">
        <f>IFERROR(IF(AND(C108&lt;&gt;"",ISNUMBER(E108),ISNUMBER(F108),F108&gt;0,ISNUMBER(G108)),E108/F108*G108,""),"")</f>
        <v/>
      </c>
      <c r="I108" s="77"/>
      <c r="J108" s="77"/>
    </row>
    <row r="109" spans="2:11" ht="16.5" customHeight="1">
      <c r="B109" s="71">
        <v>15</v>
      </c>
      <c r="C109" s="68"/>
      <c r="D109" s="72" t="s">
        <v>295</v>
      </c>
      <c r="E109" s="69"/>
      <c r="F109" s="70"/>
      <c r="G109" s="73" t="str">
        <f>IFERROR(VLOOKUP(C109,'🧪 프렙 원가표'!$C$8:$D$18,2,0),IFERROR(VLOOKUP(C109,'🥬 식재료 DB'!$C$7:$H$121,6,0),""))</f>
        <v/>
      </c>
      <c r="H109" s="74" t="str">
        <f>IFERROR(IF(AND(C109&lt;&gt;"",ISNUMBER(E109),ISNUMBER(F109),F109&gt;0,ISNUMBER(G109)),E109/F109*G109,""),"")</f>
        <v/>
      </c>
      <c r="I109" s="63"/>
      <c r="J109" s="63"/>
    </row>
    <row r="110" spans="2:11" ht="16.5" customHeight="1">
      <c r="B110" s="71">
        <v>16</v>
      </c>
      <c r="C110" s="68"/>
      <c r="D110" s="72" t="s">
        <v>295</v>
      </c>
      <c r="E110" s="69"/>
      <c r="F110" s="70"/>
      <c r="G110" s="73" t="str">
        <f>IFERROR(VLOOKUP(C110,'🧪 프렙 원가표'!$C$8:$D$18,2,0),IFERROR(VLOOKUP(C110,'🥬 식재료 DB'!$C$7:$H$121,6,0),""))</f>
        <v/>
      </c>
      <c r="H110" s="74" t="str">
        <f>IFERROR(IF(AND(C110&lt;&gt;"",ISNUMBER(E110),ISNUMBER(F110),F110&gt;0,ISNUMBER(G110)),E110/F110*G110,""),"")</f>
        <v/>
      </c>
      <c r="I110" s="77"/>
      <c r="J110" s="77"/>
    </row>
    <row r="111" spans="2:11" ht="16.5" customHeight="1">
      <c r="B111" s="71">
        <v>17</v>
      </c>
      <c r="C111" s="68"/>
      <c r="D111" s="72" t="s">
        <v>295</v>
      </c>
      <c r="E111" s="69"/>
      <c r="F111" s="70"/>
      <c r="G111" s="73" t="str">
        <f>IFERROR(VLOOKUP(C111,'🧪 프렙 원가표'!$C$8:$D$18,2,0),IFERROR(VLOOKUP(C111,'🥬 식재료 DB'!$C$7:$H$121,6,0),""))</f>
        <v/>
      </c>
      <c r="H111" s="74" t="str">
        <f>IFERROR(IF(AND(C111&lt;&gt;"",ISNUMBER(E111),ISNUMBER(F111),F111&gt;0,ISNUMBER(G111)),E111/F111*G111,""),"")</f>
        <v/>
      </c>
      <c r="I111" s="63"/>
      <c r="J111" s="63"/>
    </row>
    <row r="112" spans="2:11" ht="3.75" customHeight="1">
      <c r="B112" s="78"/>
      <c r="C112" s="78"/>
      <c r="D112" s="78"/>
      <c r="E112" s="78"/>
      <c r="F112" s="78"/>
      <c r="G112" s="78"/>
      <c r="H112" s="78"/>
      <c r="I112" s="78"/>
      <c r="J112" s="78"/>
      <c r="K112" s="78"/>
    </row>
    <row r="113" spans="2:11" ht="27" customHeight="1">
      <c r="B113" s="50"/>
      <c r="C113" s="51" t="s">
        <v>433</v>
      </c>
      <c r="D113" s="50"/>
      <c r="E113" s="52">
        <v>4000</v>
      </c>
      <c r="F113" s="53">
        <f>IFERROR(SUM(H115,H116,H117,H118,H119,H120,H121,H122,H123,H124,H125,H126,H128,H129,H130,H131,H132),0)</f>
        <v>292.05555555555554</v>
      </c>
      <c r="G113" s="54">
        <f>IFERROR(E113*'💰 고정비용 DB'!$D$22/'💰 고정비용 DB'!$D$25,0)</f>
        <v>2641.1882639203259</v>
      </c>
      <c r="H113" s="55">
        <f>IFERROR(G113-F113,"")</f>
        <v>2349.1327083647702</v>
      </c>
      <c r="I113" s="56">
        <f>IFERROR(H113/E113,"")</f>
        <v>0.5872831770911926</v>
      </c>
      <c r="J113" s="57" t="str">
        <f>IF(I113="","⬜ 미입력",IF(I113&lt;=0.2,"✅ 양호",IF(I113&lt;=0.32,"🟡 주의","🔴 과다")))</f>
        <v>🔴 과다</v>
      </c>
      <c r="K113" s="50"/>
    </row>
    <row r="114" spans="2:11" ht="12.75" customHeight="1">
      <c r="B114" s="204" t="s">
        <v>291</v>
      </c>
      <c r="C114" s="204"/>
      <c r="D114" s="204"/>
      <c r="E114" s="204"/>
      <c r="F114" s="204"/>
      <c r="G114" s="204"/>
      <c r="H114" s="204"/>
      <c r="I114" s="204"/>
      <c r="J114" s="204"/>
      <c r="K114" s="204"/>
    </row>
    <row r="115" spans="2:11" ht="16.5" customHeight="1">
      <c r="B115" s="58">
        <v>1</v>
      </c>
      <c r="C115" s="17" t="s">
        <v>432</v>
      </c>
      <c r="D115" s="59" t="s">
        <v>292</v>
      </c>
      <c r="E115" s="60">
        <v>10</v>
      </c>
      <c r="F115" s="61">
        <v>1</v>
      </c>
      <c r="G115" s="25">
        <f>IFERROR(VLOOKUP(C115,'🥬 식재료 DB'!$C$7:$H$121,6,0),"")</f>
        <v>18.888888888888889</v>
      </c>
      <c r="H115" s="62">
        <f t="shared" ref="H115:H126" si="5">IFERROR(IF(AND(C115&lt;&gt;"",ISNUMBER(E115),ISNUMBER(F115),F115&gt;0,ISNUMBER(G115)),E115/F115*G115,""),"")</f>
        <v>188.88888888888889</v>
      </c>
      <c r="I115" s="63"/>
      <c r="J115" s="63"/>
    </row>
    <row r="116" spans="2:11" ht="16.5" customHeight="1">
      <c r="B116" s="58">
        <v>2</v>
      </c>
      <c r="C116" s="133" t="s">
        <v>217</v>
      </c>
      <c r="D116" s="59" t="s">
        <v>292</v>
      </c>
      <c r="E116" s="134">
        <v>10</v>
      </c>
      <c r="F116" s="135">
        <v>1</v>
      </c>
      <c r="G116" s="25">
        <f>IFERROR(VLOOKUP(C116,'🥬 식재료 DB'!$C$7:$H$121,6,0),"")</f>
        <v>1.65</v>
      </c>
      <c r="H116" s="62">
        <f t="shared" si="5"/>
        <v>16.5</v>
      </c>
      <c r="I116" s="136"/>
      <c r="J116" s="136"/>
    </row>
    <row r="117" spans="2:11" ht="16.5" customHeight="1">
      <c r="B117" s="58">
        <v>3</v>
      </c>
      <c r="C117" s="6" t="s">
        <v>428</v>
      </c>
      <c r="D117" s="59" t="s">
        <v>292</v>
      </c>
      <c r="E117" s="60">
        <v>150</v>
      </c>
      <c r="F117" s="61">
        <v>1</v>
      </c>
      <c r="G117" s="25" t="str">
        <f>IFERROR(VLOOKUP(C117,'🥬 식재료 DB'!$C$7:$H$121,6,0),"")</f>
        <v/>
      </c>
      <c r="H117" s="62" t="str">
        <f t="shared" si="5"/>
        <v/>
      </c>
      <c r="I117" s="63"/>
      <c r="J117" s="63"/>
    </row>
    <row r="118" spans="2:11" ht="16.5" customHeight="1">
      <c r="B118" s="58">
        <v>4</v>
      </c>
      <c r="C118" s="133" t="s">
        <v>169</v>
      </c>
      <c r="D118" s="59" t="s">
        <v>292</v>
      </c>
      <c r="E118" s="134">
        <v>5</v>
      </c>
      <c r="F118" s="135">
        <v>1</v>
      </c>
      <c r="G118" s="25">
        <f>IFERROR(VLOOKUP(C118,'🥬 식재료 DB'!$C$7:$H$121,6,0),"")</f>
        <v>1.3333333333333333</v>
      </c>
      <c r="H118" s="62">
        <f t="shared" si="5"/>
        <v>6.6666666666666661</v>
      </c>
      <c r="I118" s="136"/>
      <c r="J118" s="136"/>
    </row>
    <row r="119" spans="2:11" ht="16.5" customHeight="1">
      <c r="B119" s="58">
        <v>5</v>
      </c>
      <c r="C119" s="6" t="s">
        <v>246</v>
      </c>
      <c r="D119" s="59" t="s">
        <v>292</v>
      </c>
      <c r="E119" s="60">
        <v>5</v>
      </c>
      <c r="F119" s="61">
        <v>1</v>
      </c>
      <c r="G119" s="25">
        <f>IFERROR(VLOOKUP(C119,'🥬 식재료 DB'!$C$7:$H$121,6,0),"")</f>
        <v>16</v>
      </c>
      <c r="H119" s="62">
        <f t="shared" si="5"/>
        <v>80</v>
      </c>
      <c r="I119" s="63"/>
      <c r="J119" s="63"/>
    </row>
    <row r="120" spans="2:11" ht="16.5" customHeight="1">
      <c r="B120" s="58">
        <v>6</v>
      </c>
      <c r="C120" s="68"/>
      <c r="D120" s="59" t="s">
        <v>292</v>
      </c>
      <c r="E120" s="69"/>
      <c r="F120" s="70"/>
      <c r="G120" s="25" t="str">
        <f>IFERROR(VLOOKUP(C120,'🥬 식재료 DB'!$C$7:$H$121,6,0),"")</f>
        <v/>
      </c>
      <c r="H120" s="62" t="str">
        <f t="shared" si="5"/>
        <v/>
      </c>
      <c r="I120" s="136"/>
      <c r="J120" s="136"/>
    </row>
    <row r="121" spans="2:11" ht="16.5" customHeight="1">
      <c r="B121" s="58">
        <v>7</v>
      </c>
      <c r="C121" s="68"/>
      <c r="D121" s="59" t="s">
        <v>292</v>
      </c>
      <c r="E121" s="69"/>
      <c r="F121" s="70"/>
      <c r="G121" s="25" t="str">
        <f>IFERROR(VLOOKUP(C121,'🥬 식재료 DB'!$C$7:$H$121,6,0),"")</f>
        <v/>
      </c>
      <c r="H121" s="62" t="str">
        <f t="shared" si="5"/>
        <v/>
      </c>
      <c r="I121" s="63"/>
      <c r="J121" s="63"/>
    </row>
    <row r="122" spans="2:11" ht="16.5" customHeight="1">
      <c r="B122" s="58">
        <v>8</v>
      </c>
      <c r="C122" s="68"/>
      <c r="D122" s="59" t="s">
        <v>292</v>
      </c>
      <c r="E122" s="69"/>
      <c r="F122" s="70"/>
      <c r="G122" s="25" t="str">
        <f>IFERROR(VLOOKUP(C122,'🥬 식재료 DB'!$C$7:$H$121,6,0),"")</f>
        <v/>
      </c>
      <c r="H122" s="62" t="str">
        <f t="shared" si="5"/>
        <v/>
      </c>
      <c r="I122" s="136"/>
      <c r="J122" s="136"/>
    </row>
    <row r="123" spans="2:11" ht="16.5" customHeight="1">
      <c r="B123" s="58">
        <v>9</v>
      </c>
      <c r="C123" s="68"/>
      <c r="D123" s="59" t="s">
        <v>292</v>
      </c>
      <c r="E123" s="69"/>
      <c r="F123" s="70"/>
      <c r="G123" s="25" t="str">
        <f>IFERROR(VLOOKUP(C123,'🥬 식재료 DB'!$C$7:$H$121,6,0),"")</f>
        <v/>
      </c>
      <c r="H123" s="62" t="str">
        <f t="shared" si="5"/>
        <v/>
      </c>
      <c r="I123" s="63"/>
      <c r="J123" s="63"/>
    </row>
    <row r="124" spans="2:11" ht="16.5" customHeight="1">
      <c r="B124" s="58">
        <v>10</v>
      </c>
      <c r="C124" s="68"/>
      <c r="D124" s="59" t="s">
        <v>292</v>
      </c>
      <c r="E124" s="69"/>
      <c r="F124" s="70"/>
      <c r="G124" s="25" t="str">
        <f>IFERROR(VLOOKUP(C124,'🥬 식재료 DB'!$C$7:$H$121,6,0),"")</f>
        <v/>
      </c>
      <c r="H124" s="62" t="str">
        <f t="shared" si="5"/>
        <v/>
      </c>
      <c r="I124" s="136"/>
      <c r="J124" s="136"/>
    </row>
    <row r="125" spans="2:11" ht="16.5" customHeight="1">
      <c r="B125" s="58">
        <v>11</v>
      </c>
      <c r="C125" s="68"/>
      <c r="D125" s="59" t="s">
        <v>292</v>
      </c>
      <c r="E125" s="69"/>
      <c r="F125" s="70"/>
      <c r="G125" s="25" t="str">
        <f>IFERROR(VLOOKUP(C125,'🥬 식재료 DB'!$C$7:$H$121,6,0),"")</f>
        <v/>
      </c>
      <c r="H125" s="62" t="str">
        <f t="shared" si="5"/>
        <v/>
      </c>
      <c r="I125" s="63"/>
      <c r="J125" s="63"/>
    </row>
    <row r="126" spans="2:11" ht="16.5" customHeight="1">
      <c r="B126" s="58">
        <v>12</v>
      </c>
      <c r="C126" s="68"/>
      <c r="D126" s="59" t="s">
        <v>292</v>
      </c>
      <c r="E126" s="69"/>
      <c r="F126" s="70"/>
      <c r="G126" s="25" t="str">
        <f>IFERROR(VLOOKUP(C126,'🥬 식재료 DB'!$C$7:$H$121,6,0),"")</f>
        <v/>
      </c>
      <c r="H126" s="62" t="str">
        <f t="shared" si="5"/>
        <v/>
      </c>
      <c r="I126" s="136"/>
      <c r="J126" s="136"/>
    </row>
    <row r="127" spans="2:11" ht="12.75" customHeight="1">
      <c r="B127" s="203" t="s">
        <v>293</v>
      </c>
      <c r="C127" s="203"/>
      <c r="D127" s="203"/>
      <c r="E127" s="203"/>
      <c r="F127" s="203"/>
      <c r="G127" s="203"/>
      <c r="H127" s="203"/>
      <c r="I127" s="203"/>
      <c r="J127" s="203"/>
      <c r="K127" s="203"/>
    </row>
    <row r="128" spans="2:11" ht="16.5" customHeight="1">
      <c r="B128" s="71">
        <v>13</v>
      </c>
      <c r="C128" s="68"/>
      <c r="D128" s="72" t="s">
        <v>295</v>
      </c>
      <c r="E128" s="69"/>
      <c r="F128" s="70"/>
      <c r="G128" s="73" t="str">
        <f>IFERROR(VLOOKUP(C128,'🧪 프렙 원가표'!$C$8:$D$18,2,0),IFERROR(VLOOKUP(C128,'🥬 식재료 DB'!$C$7:$H$121,6,0),""))</f>
        <v/>
      </c>
      <c r="H128" s="74" t="str">
        <f>IFERROR(IF(AND(C128&lt;&gt;"",ISNUMBER(E128),ISNUMBER(F128),F128&gt;0,ISNUMBER(G128)),E128/F128*G128,""),"")</f>
        <v/>
      </c>
      <c r="I128" s="63"/>
      <c r="J128" s="63"/>
    </row>
    <row r="129" spans="2:11" ht="16.5" customHeight="1">
      <c r="B129" s="71">
        <v>14</v>
      </c>
      <c r="C129" s="68"/>
      <c r="D129" s="72" t="s">
        <v>295</v>
      </c>
      <c r="E129" s="69"/>
      <c r="F129" s="70"/>
      <c r="G129" s="73" t="str">
        <f>IFERROR(VLOOKUP(C129,'🧪 프렙 원가표'!$C$8:$D$18,2,0),IFERROR(VLOOKUP(C129,'🥬 식재료 DB'!$C$7:$H$121,6,0),""))</f>
        <v/>
      </c>
      <c r="H129" s="74" t="str">
        <f>IFERROR(IF(AND(C129&lt;&gt;"",ISNUMBER(E129),ISNUMBER(F129),F129&gt;0,ISNUMBER(G129)),E129/F129*G129,""),"")</f>
        <v/>
      </c>
      <c r="I129" s="77"/>
      <c r="J129" s="77"/>
    </row>
    <row r="130" spans="2:11" ht="16.5" customHeight="1">
      <c r="B130" s="71">
        <v>15</v>
      </c>
      <c r="C130" s="68"/>
      <c r="D130" s="72" t="s">
        <v>295</v>
      </c>
      <c r="E130" s="69"/>
      <c r="F130" s="70"/>
      <c r="G130" s="73" t="str">
        <f>IFERROR(VLOOKUP(C130,'🧪 프렙 원가표'!$C$8:$D$18,2,0),IFERROR(VLOOKUP(C130,'🥬 식재료 DB'!$C$7:$H$121,6,0),""))</f>
        <v/>
      </c>
      <c r="H130" s="74" t="str">
        <f>IFERROR(IF(AND(C130&lt;&gt;"",ISNUMBER(E130),ISNUMBER(F130),F130&gt;0,ISNUMBER(G130)),E130/F130*G130,""),"")</f>
        <v/>
      </c>
      <c r="I130" s="63"/>
      <c r="J130" s="63"/>
    </row>
    <row r="131" spans="2:11" ht="16.5" customHeight="1">
      <c r="B131" s="71">
        <v>16</v>
      </c>
      <c r="C131" s="68"/>
      <c r="D131" s="72" t="s">
        <v>295</v>
      </c>
      <c r="E131" s="69"/>
      <c r="F131" s="70"/>
      <c r="G131" s="73" t="str">
        <f>IFERROR(VLOOKUP(C131,'🧪 프렙 원가표'!$C$8:$D$18,2,0),IFERROR(VLOOKUP(C131,'🥬 식재료 DB'!$C$7:$H$121,6,0),""))</f>
        <v/>
      </c>
      <c r="H131" s="74" t="str">
        <f>IFERROR(IF(AND(C131&lt;&gt;"",ISNUMBER(E131),ISNUMBER(F131),F131&gt;0,ISNUMBER(G131)),E131/F131*G131,""),"")</f>
        <v/>
      </c>
      <c r="I131" s="77"/>
      <c r="J131" s="77"/>
    </row>
    <row r="132" spans="2:11" ht="16.5" customHeight="1">
      <c r="B132" s="71">
        <v>17</v>
      </c>
      <c r="C132" s="68"/>
      <c r="D132" s="72" t="s">
        <v>295</v>
      </c>
      <c r="E132" s="69"/>
      <c r="F132" s="70"/>
      <c r="G132" s="73" t="str">
        <f>IFERROR(VLOOKUP(C132,'🧪 프렙 원가표'!$C$8:$D$18,2,0),IFERROR(VLOOKUP(C132,'🥬 식재료 DB'!$C$7:$H$121,6,0),""))</f>
        <v/>
      </c>
      <c r="H132" s="74" t="str">
        <f>IFERROR(IF(AND(C132&lt;&gt;"",ISNUMBER(E132),ISNUMBER(F132),F132&gt;0,ISNUMBER(G132)),E132/F132*G132,""),"")</f>
        <v/>
      </c>
      <c r="I132" s="63"/>
      <c r="J132" s="63"/>
    </row>
    <row r="133" spans="2:11" ht="3.75" customHeight="1">
      <c r="B133" s="78"/>
      <c r="C133" s="78"/>
      <c r="D133" s="78"/>
      <c r="E133" s="78"/>
      <c r="F133" s="78"/>
      <c r="G133" s="78"/>
      <c r="H133" s="78"/>
      <c r="I133" s="78"/>
      <c r="J133" s="78"/>
      <c r="K133" s="78"/>
    </row>
    <row r="134" spans="2:11" ht="27" customHeight="1">
      <c r="B134" s="50"/>
      <c r="C134" s="51" t="s">
        <v>434</v>
      </c>
      <c r="D134" s="50"/>
      <c r="E134" s="52">
        <v>6000</v>
      </c>
      <c r="F134" s="53">
        <f>IFERROR(SUM(H136,H137,H138,H139,H140,H141,H142,H143,H144,H145,H146,H147,H149,H150,H151,H152,H153),0)</f>
        <v>0</v>
      </c>
      <c r="G134" s="54">
        <f>IFERROR(E134*'💰 고정비용 DB'!$D$22/'💰 고정비용 DB'!$D$25,0)</f>
        <v>3961.7823958804888</v>
      </c>
      <c r="H134" s="55">
        <f>IFERROR(G134-F134,"")</f>
        <v>3961.7823958804888</v>
      </c>
      <c r="I134" s="56">
        <f>IFERROR(H134/E134,"")</f>
        <v>0.66029706598008142</v>
      </c>
      <c r="J134" s="57" t="str">
        <f>IF(I134="","⬜ 미입력",IF(I134&lt;=0.2,"✅ 양호",IF(I134&lt;=0.32,"🟡 주의","🔴 과다")))</f>
        <v>🔴 과다</v>
      </c>
      <c r="K134" s="50"/>
    </row>
    <row r="135" spans="2:11" ht="12.75" customHeight="1">
      <c r="B135" s="204" t="s">
        <v>291</v>
      </c>
      <c r="C135" s="204"/>
      <c r="D135" s="204"/>
      <c r="E135" s="204"/>
      <c r="F135" s="204"/>
      <c r="G135" s="204"/>
      <c r="H135" s="204"/>
      <c r="I135" s="204"/>
      <c r="J135" s="204"/>
      <c r="K135" s="204"/>
    </row>
    <row r="136" spans="2:11" ht="16.5" customHeight="1">
      <c r="B136" s="58">
        <v>1</v>
      </c>
      <c r="C136" s="68"/>
      <c r="D136" s="59" t="s">
        <v>292</v>
      </c>
      <c r="E136" s="69"/>
      <c r="F136" s="70"/>
      <c r="G136" s="25" t="str">
        <f>IFERROR(VLOOKUP(C136,'🥬 식재료 DB'!$C$7:$H$121,6,0),"")</f>
        <v/>
      </c>
      <c r="H136" s="62" t="str">
        <f t="shared" ref="H136:H147" si="6">IFERROR(IF(AND(C136&lt;&gt;"",ISNUMBER(E136),ISNUMBER(F136),F136&gt;0,ISNUMBER(G136)),E136/F136*G136,""),"")</f>
        <v/>
      </c>
      <c r="I136" s="63"/>
      <c r="J136" s="63"/>
    </row>
    <row r="137" spans="2:11" ht="16.5" customHeight="1">
      <c r="B137" s="58">
        <v>2</v>
      </c>
      <c r="C137" s="68"/>
      <c r="D137" s="59" t="s">
        <v>292</v>
      </c>
      <c r="E137" s="69"/>
      <c r="F137" s="70"/>
      <c r="G137" s="25" t="str">
        <f>IFERROR(VLOOKUP(C137,'🥬 식재료 DB'!$C$7:$H$121,6,0),"")</f>
        <v/>
      </c>
      <c r="H137" s="62" t="str">
        <f t="shared" si="6"/>
        <v/>
      </c>
      <c r="I137" s="136"/>
      <c r="J137" s="136"/>
    </row>
    <row r="138" spans="2:11" ht="16.5" customHeight="1">
      <c r="B138" s="58">
        <v>3</v>
      </c>
      <c r="C138" s="68"/>
      <c r="D138" s="59" t="s">
        <v>292</v>
      </c>
      <c r="E138" s="69"/>
      <c r="F138" s="70"/>
      <c r="G138" s="25" t="str">
        <f>IFERROR(VLOOKUP(C138,'🥬 식재료 DB'!$C$7:$H$121,6,0),"")</f>
        <v/>
      </c>
      <c r="H138" s="62" t="str">
        <f t="shared" si="6"/>
        <v/>
      </c>
      <c r="I138" s="63"/>
      <c r="J138" s="63"/>
    </row>
    <row r="139" spans="2:11" ht="16.5" customHeight="1">
      <c r="B139" s="58">
        <v>4</v>
      </c>
      <c r="C139" s="68"/>
      <c r="D139" s="59" t="s">
        <v>292</v>
      </c>
      <c r="E139" s="69"/>
      <c r="F139" s="70"/>
      <c r="G139" s="25" t="str">
        <f>IFERROR(VLOOKUP(C139,'🥬 식재료 DB'!$C$7:$H$121,6,0),"")</f>
        <v/>
      </c>
      <c r="H139" s="62" t="str">
        <f t="shared" si="6"/>
        <v/>
      </c>
      <c r="I139" s="136"/>
      <c r="J139" s="136"/>
    </row>
    <row r="140" spans="2:11" ht="16.5" customHeight="1">
      <c r="B140" s="58">
        <v>5</v>
      </c>
      <c r="C140" s="68"/>
      <c r="D140" s="59" t="s">
        <v>292</v>
      </c>
      <c r="E140" s="69"/>
      <c r="F140" s="70"/>
      <c r="G140" s="25" t="str">
        <f>IFERROR(VLOOKUP(C140,'🥬 식재료 DB'!$C$7:$H$121,6,0),"")</f>
        <v/>
      </c>
      <c r="H140" s="62" t="str">
        <f t="shared" si="6"/>
        <v/>
      </c>
      <c r="I140" s="63"/>
      <c r="J140" s="63"/>
    </row>
    <row r="141" spans="2:11" ht="16.5" customHeight="1">
      <c r="B141" s="58">
        <v>6</v>
      </c>
      <c r="C141" s="68"/>
      <c r="D141" s="59" t="s">
        <v>292</v>
      </c>
      <c r="E141" s="69"/>
      <c r="F141" s="70"/>
      <c r="G141" s="25" t="str">
        <f>IFERROR(VLOOKUP(C141,'🥬 식재료 DB'!$C$7:$H$121,6,0),"")</f>
        <v/>
      </c>
      <c r="H141" s="62" t="str">
        <f t="shared" si="6"/>
        <v/>
      </c>
      <c r="I141" s="136"/>
      <c r="J141" s="136"/>
    </row>
    <row r="142" spans="2:11" ht="16.5" customHeight="1">
      <c r="B142" s="58">
        <v>7</v>
      </c>
      <c r="C142" s="68"/>
      <c r="D142" s="59" t="s">
        <v>292</v>
      </c>
      <c r="E142" s="69"/>
      <c r="F142" s="70"/>
      <c r="G142" s="25" t="str">
        <f>IFERROR(VLOOKUP(C142,'🥬 식재료 DB'!$C$7:$H$121,6,0),"")</f>
        <v/>
      </c>
      <c r="H142" s="62" t="str">
        <f t="shared" si="6"/>
        <v/>
      </c>
      <c r="I142" s="63"/>
      <c r="J142" s="63"/>
    </row>
    <row r="143" spans="2:11" ht="16.5" customHeight="1">
      <c r="B143" s="58">
        <v>8</v>
      </c>
      <c r="C143" s="68"/>
      <c r="D143" s="59" t="s">
        <v>292</v>
      </c>
      <c r="E143" s="69"/>
      <c r="F143" s="70"/>
      <c r="G143" s="25" t="str">
        <f>IFERROR(VLOOKUP(C143,'🥬 식재료 DB'!$C$7:$H$121,6,0),"")</f>
        <v/>
      </c>
      <c r="H143" s="62" t="str">
        <f t="shared" si="6"/>
        <v/>
      </c>
      <c r="I143" s="136"/>
      <c r="J143" s="136"/>
    </row>
    <row r="144" spans="2:11" ht="16.5" customHeight="1">
      <c r="B144" s="58">
        <v>9</v>
      </c>
      <c r="C144" s="68"/>
      <c r="D144" s="59" t="s">
        <v>292</v>
      </c>
      <c r="E144" s="69"/>
      <c r="F144" s="70"/>
      <c r="G144" s="25" t="str">
        <f>IFERROR(VLOOKUP(C144,'🥬 식재료 DB'!$C$7:$H$121,6,0),"")</f>
        <v/>
      </c>
      <c r="H144" s="62" t="str">
        <f t="shared" si="6"/>
        <v/>
      </c>
      <c r="I144" s="63"/>
      <c r="J144" s="63"/>
    </row>
    <row r="145" spans="2:11" ht="16.5" customHeight="1">
      <c r="B145" s="58">
        <v>10</v>
      </c>
      <c r="C145" s="68"/>
      <c r="D145" s="59" t="s">
        <v>292</v>
      </c>
      <c r="E145" s="69"/>
      <c r="F145" s="70"/>
      <c r="G145" s="25" t="str">
        <f>IFERROR(VLOOKUP(C145,'🥬 식재료 DB'!$C$7:$H$121,6,0),"")</f>
        <v/>
      </c>
      <c r="H145" s="62" t="str">
        <f t="shared" si="6"/>
        <v/>
      </c>
      <c r="I145" s="136"/>
      <c r="J145" s="136"/>
    </row>
    <row r="146" spans="2:11" ht="16.5" customHeight="1">
      <c r="B146" s="58">
        <v>11</v>
      </c>
      <c r="C146" s="68"/>
      <c r="D146" s="59" t="s">
        <v>292</v>
      </c>
      <c r="E146" s="69"/>
      <c r="F146" s="70"/>
      <c r="G146" s="25" t="str">
        <f>IFERROR(VLOOKUP(C146,'🥬 식재료 DB'!$C$7:$H$121,6,0),"")</f>
        <v/>
      </c>
      <c r="H146" s="62" t="str">
        <f t="shared" si="6"/>
        <v/>
      </c>
      <c r="I146" s="63"/>
      <c r="J146" s="63"/>
    </row>
    <row r="147" spans="2:11" ht="16.5" customHeight="1">
      <c r="B147" s="58">
        <v>12</v>
      </c>
      <c r="C147" s="68"/>
      <c r="D147" s="59" t="s">
        <v>292</v>
      </c>
      <c r="E147" s="69"/>
      <c r="F147" s="70"/>
      <c r="G147" s="25" t="str">
        <f>IFERROR(VLOOKUP(C147,'🥬 식재료 DB'!$C$7:$H$121,6,0),"")</f>
        <v/>
      </c>
      <c r="H147" s="62" t="str">
        <f t="shared" si="6"/>
        <v/>
      </c>
      <c r="I147" s="136"/>
      <c r="J147" s="136"/>
    </row>
    <row r="148" spans="2:11" ht="12.75" customHeight="1">
      <c r="B148" s="203" t="s">
        <v>293</v>
      </c>
      <c r="C148" s="203"/>
      <c r="D148" s="203"/>
      <c r="E148" s="203"/>
      <c r="F148" s="203"/>
      <c r="G148" s="203"/>
      <c r="H148" s="203"/>
      <c r="I148" s="203"/>
      <c r="J148" s="203"/>
      <c r="K148" s="203"/>
    </row>
    <row r="149" spans="2:11" ht="16.5" customHeight="1">
      <c r="B149" s="71">
        <v>13</v>
      </c>
      <c r="C149" s="68"/>
      <c r="D149" s="72" t="s">
        <v>295</v>
      </c>
      <c r="E149" s="69"/>
      <c r="F149" s="70"/>
      <c r="G149" s="73" t="str">
        <f>IFERROR(VLOOKUP(C149,'🧪 프렙 원가표'!$C$8:$D$18,2,0),IFERROR(VLOOKUP(C149,'🥬 식재료 DB'!$C$7:$H$121,6,0),""))</f>
        <v/>
      </c>
      <c r="H149" s="74" t="str">
        <f>IFERROR(IF(AND(C149&lt;&gt;"",ISNUMBER(E149),ISNUMBER(F149),F149&gt;0,ISNUMBER(G149)),E149/F149*G149,""),"")</f>
        <v/>
      </c>
      <c r="I149" s="63"/>
      <c r="J149" s="63"/>
    </row>
    <row r="150" spans="2:11" ht="16.5" customHeight="1">
      <c r="B150" s="71">
        <v>14</v>
      </c>
      <c r="C150" s="68"/>
      <c r="D150" s="72" t="s">
        <v>295</v>
      </c>
      <c r="E150" s="69"/>
      <c r="F150" s="70"/>
      <c r="G150" s="73" t="str">
        <f>IFERROR(VLOOKUP(C150,'🧪 프렙 원가표'!$C$8:$D$18,2,0),IFERROR(VLOOKUP(C150,'🥬 식재료 DB'!$C$7:$H$121,6,0),""))</f>
        <v/>
      </c>
      <c r="H150" s="74" t="str">
        <f>IFERROR(IF(AND(C150&lt;&gt;"",ISNUMBER(E150),ISNUMBER(F150),F150&gt;0,ISNUMBER(G150)),E150/F150*G150,""),"")</f>
        <v/>
      </c>
      <c r="I150" s="77"/>
      <c r="J150" s="77"/>
    </row>
    <row r="151" spans="2:11" ht="16.5" customHeight="1">
      <c r="B151" s="71">
        <v>15</v>
      </c>
      <c r="C151" s="68"/>
      <c r="D151" s="72" t="s">
        <v>295</v>
      </c>
      <c r="E151" s="69"/>
      <c r="F151" s="70"/>
      <c r="G151" s="73" t="str">
        <f>IFERROR(VLOOKUP(C151,'🧪 프렙 원가표'!$C$8:$D$18,2,0),IFERROR(VLOOKUP(C151,'🥬 식재료 DB'!$C$7:$H$121,6,0),""))</f>
        <v/>
      </c>
      <c r="H151" s="74" t="str">
        <f>IFERROR(IF(AND(C151&lt;&gt;"",ISNUMBER(E151),ISNUMBER(F151),F151&gt;0,ISNUMBER(G151)),E151/F151*G151,""),"")</f>
        <v/>
      </c>
      <c r="I151" s="63"/>
      <c r="J151" s="63"/>
    </row>
    <row r="152" spans="2:11" ht="16.5" customHeight="1">
      <c r="B152" s="71">
        <v>16</v>
      </c>
      <c r="C152" s="68"/>
      <c r="D152" s="72" t="s">
        <v>295</v>
      </c>
      <c r="E152" s="69"/>
      <c r="F152" s="70"/>
      <c r="G152" s="73" t="str">
        <f>IFERROR(VLOOKUP(C152,'🧪 프렙 원가표'!$C$8:$D$18,2,0),IFERROR(VLOOKUP(C152,'🥬 식재료 DB'!$C$7:$H$121,6,0),""))</f>
        <v/>
      </c>
      <c r="H152" s="74" t="str">
        <f>IFERROR(IF(AND(C152&lt;&gt;"",ISNUMBER(E152),ISNUMBER(F152),F152&gt;0,ISNUMBER(G152)),E152/F152*G152,""),"")</f>
        <v/>
      </c>
      <c r="I152" s="77"/>
      <c r="J152" s="77"/>
    </row>
    <row r="153" spans="2:11" ht="16.5" customHeight="1">
      <c r="B153" s="71">
        <v>17</v>
      </c>
      <c r="C153" s="68"/>
      <c r="D153" s="72" t="s">
        <v>295</v>
      </c>
      <c r="E153" s="69"/>
      <c r="F153" s="70"/>
      <c r="G153" s="73" t="str">
        <f>IFERROR(VLOOKUP(C153,'🧪 프렙 원가표'!$C$8:$D$18,2,0),IFERROR(VLOOKUP(C153,'🥬 식재료 DB'!$C$7:$H$121,6,0),""))</f>
        <v/>
      </c>
      <c r="H153" s="74" t="str">
        <f>IFERROR(IF(AND(C153&lt;&gt;"",ISNUMBER(E153),ISNUMBER(F153),F153&gt;0,ISNUMBER(G153)),E153/F153*G153,""),"")</f>
        <v/>
      </c>
      <c r="I153" s="63"/>
      <c r="J153" s="63"/>
    </row>
    <row r="154" spans="2:11" ht="3.75" customHeight="1">
      <c r="B154" s="78"/>
      <c r="C154" s="78"/>
      <c r="D154" s="78"/>
      <c r="E154" s="78"/>
      <c r="F154" s="78"/>
      <c r="G154" s="78"/>
      <c r="H154" s="78"/>
      <c r="I154" s="78"/>
      <c r="J154" s="78"/>
      <c r="K154" s="78"/>
    </row>
    <row r="155" spans="2:11" ht="27" customHeight="1">
      <c r="B155" s="50"/>
      <c r="C155" s="51" t="s">
        <v>435</v>
      </c>
      <c r="D155" s="50"/>
      <c r="E155" s="52">
        <v>6000</v>
      </c>
      <c r="F155" s="53">
        <f>IFERROR(SUM(H157,H158,H159,H160,H161,H162,H163,H164,H165,H166,H167,H168,H170,H171,H172,H173,H174),0)</f>
        <v>0</v>
      </c>
      <c r="G155" s="54">
        <f>IFERROR(E155*'💰 고정비용 DB'!$D$22/'💰 고정비용 DB'!$D$25,0)</f>
        <v>3961.7823958804888</v>
      </c>
      <c r="H155" s="55">
        <f>IFERROR(G155-F155,"")</f>
        <v>3961.7823958804888</v>
      </c>
      <c r="I155" s="56">
        <f>IFERROR(H155/E155,"")</f>
        <v>0.66029706598008142</v>
      </c>
      <c r="J155" s="57" t="str">
        <f>IF(I155="","⬜ 미입력",IF(I155&lt;=0.2,"✅ 양호",IF(I155&lt;=0.32,"🟡 주의","🔴 과다")))</f>
        <v>🔴 과다</v>
      </c>
      <c r="K155" s="50"/>
    </row>
    <row r="156" spans="2:11" ht="12.75" customHeight="1">
      <c r="B156" s="204" t="s">
        <v>291</v>
      </c>
      <c r="C156" s="204"/>
      <c r="D156" s="204"/>
      <c r="E156" s="204"/>
      <c r="F156" s="204"/>
      <c r="G156" s="204"/>
      <c r="H156" s="204"/>
      <c r="I156" s="204"/>
      <c r="J156" s="204"/>
      <c r="K156" s="204"/>
    </row>
    <row r="157" spans="2:11" ht="16.5" customHeight="1">
      <c r="B157" s="58">
        <v>1</v>
      </c>
      <c r="C157" s="68"/>
      <c r="D157" s="59" t="s">
        <v>292</v>
      </c>
      <c r="E157" s="69"/>
      <c r="F157" s="70"/>
      <c r="G157" s="25" t="str">
        <f>IFERROR(VLOOKUP(C157,'🥬 식재료 DB'!$C$7:$H$121,6,0),"")</f>
        <v/>
      </c>
      <c r="H157" s="62" t="str">
        <f t="shared" ref="H157:H168" si="7">IFERROR(IF(AND(C157&lt;&gt;"",ISNUMBER(E157),ISNUMBER(F157),F157&gt;0,ISNUMBER(G157)),E157/F157*G157,""),"")</f>
        <v/>
      </c>
      <c r="I157" s="63"/>
      <c r="J157" s="63"/>
    </row>
    <row r="158" spans="2:11" ht="16.5" customHeight="1">
      <c r="B158" s="58">
        <v>2</v>
      </c>
      <c r="C158" s="68"/>
      <c r="D158" s="59" t="s">
        <v>292</v>
      </c>
      <c r="E158" s="69"/>
      <c r="F158" s="70"/>
      <c r="G158" s="25" t="str">
        <f>IFERROR(VLOOKUP(C158,'🥬 식재료 DB'!$C$7:$H$121,6,0),"")</f>
        <v/>
      </c>
      <c r="H158" s="62" t="str">
        <f t="shared" si="7"/>
        <v/>
      </c>
      <c r="I158" s="136"/>
      <c r="J158" s="136"/>
    </row>
    <row r="159" spans="2:11" ht="16.5" customHeight="1">
      <c r="B159" s="58">
        <v>3</v>
      </c>
      <c r="C159" s="68"/>
      <c r="D159" s="59" t="s">
        <v>292</v>
      </c>
      <c r="E159" s="69"/>
      <c r="F159" s="70"/>
      <c r="G159" s="25" t="str">
        <f>IFERROR(VLOOKUP(C159,'🥬 식재료 DB'!$C$7:$H$121,6,0),"")</f>
        <v/>
      </c>
      <c r="H159" s="62" t="str">
        <f t="shared" si="7"/>
        <v/>
      </c>
      <c r="I159" s="63"/>
      <c r="J159" s="63"/>
    </row>
    <row r="160" spans="2:11" ht="16.5" customHeight="1">
      <c r="B160" s="58">
        <v>4</v>
      </c>
      <c r="C160" s="68"/>
      <c r="D160" s="59" t="s">
        <v>292</v>
      </c>
      <c r="E160" s="69"/>
      <c r="F160" s="70"/>
      <c r="G160" s="25" t="str">
        <f>IFERROR(VLOOKUP(C160,'🥬 식재료 DB'!$C$7:$H$121,6,0),"")</f>
        <v/>
      </c>
      <c r="H160" s="62" t="str">
        <f t="shared" si="7"/>
        <v/>
      </c>
      <c r="I160" s="136"/>
      <c r="J160" s="136"/>
    </row>
    <row r="161" spans="2:11" ht="16.5" customHeight="1">
      <c r="B161" s="58">
        <v>5</v>
      </c>
      <c r="C161" s="68"/>
      <c r="D161" s="59" t="s">
        <v>292</v>
      </c>
      <c r="E161" s="69"/>
      <c r="F161" s="70"/>
      <c r="G161" s="25" t="str">
        <f>IFERROR(VLOOKUP(C161,'🥬 식재료 DB'!$C$7:$H$121,6,0),"")</f>
        <v/>
      </c>
      <c r="H161" s="62" t="str">
        <f t="shared" si="7"/>
        <v/>
      </c>
      <c r="I161" s="63"/>
      <c r="J161" s="63"/>
    </row>
    <row r="162" spans="2:11" ht="16.5" customHeight="1">
      <c r="B162" s="58">
        <v>6</v>
      </c>
      <c r="C162" s="68"/>
      <c r="D162" s="59" t="s">
        <v>292</v>
      </c>
      <c r="E162" s="69"/>
      <c r="F162" s="70"/>
      <c r="G162" s="25" t="str">
        <f>IFERROR(VLOOKUP(C162,'🥬 식재료 DB'!$C$7:$H$121,6,0),"")</f>
        <v/>
      </c>
      <c r="H162" s="62" t="str">
        <f t="shared" si="7"/>
        <v/>
      </c>
      <c r="I162" s="136"/>
      <c r="J162" s="136"/>
    </row>
    <row r="163" spans="2:11" ht="16.5" customHeight="1">
      <c r="B163" s="58">
        <v>7</v>
      </c>
      <c r="C163" s="68"/>
      <c r="D163" s="59" t="s">
        <v>292</v>
      </c>
      <c r="E163" s="69"/>
      <c r="F163" s="70"/>
      <c r="G163" s="25" t="str">
        <f>IFERROR(VLOOKUP(C163,'🥬 식재료 DB'!$C$7:$H$121,6,0),"")</f>
        <v/>
      </c>
      <c r="H163" s="62" t="str">
        <f t="shared" si="7"/>
        <v/>
      </c>
      <c r="I163" s="63"/>
      <c r="J163" s="63"/>
    </row>
    <row r="164" spans="2:11" ht="16.5" customHeight="1">
      <c r="B164" s="58">
        <v>8</v>
      </c>
      <c r="C164" s="68"/>
      <c r="D164" s="59" t="s">
        <v>292</v>
      </c>
      <c r="E164" s="69"/>
      <c r="F164" s="70"/>
      <c r="G164" s="25" t="str">
        <f>IFERROR(VLOOKUP(C164,'🥬 식재료 DB'!$C$7:$H$121,6,0),"")</f>
        <v/>
      </c>
      <c r="H164" s="62" t="str">
        <f t="shared" si="7"/>
        <v/>
      </c>
      <c r="I164" s="136"/>
      <c r="J164" s="136"/>
    </row>
    <row r="165" spans="2:11" ht="16.5" customHeight="1">
      <c r="B165" s="58">
        <v>9</v>
      </c>
      <c r="C165" s="68"/>
      <c r="D165" s="59" t="s">
        <v>292</v>
      </c>
      <c r="E165" s="69"/>
      <c r="F165" s="70"/>
      <c r="G165" s="25" t="str">
        <f>IFERROR(VLOOKUP(C165,'🥬 식재료 DB'!$C$7:$H$121,6,0),"")</f>
        <v/>
      </c>
      <c r="H165" s="62" t="str">
        <f t="shared" si="7"/>
        <v/>
      </c>
      <c r="I165" s="63"/>
      <c r="J165" s="63"/>
    </row>
    <row r="166" spans="2:11" ht="16.5" customHeight="1">
      <c r="B166" s="58">
        <v>10</v>
      </c>
      <c r="C166" s="68"/>
      <c r="D166" s="59" t="s">
        <v>292</v>
      </c>
      <c r="E166" s="69"/>
      <c r="F166" s="70"/>
      <c r="G166" s="25" t="str">
        <f>IFERROR(VLOOKUP(C166,'🥬 식재료 DB'!$C$7:$H$121,6,0),"")</f>
        <v/>
      </c>
      <c r="H166" s="62" t="str">
        <f t="shared" si="7"/>
        <v/>
      </c>
      <c r="I166" s="136"/>
      <c r="J166" s="136"/>
    </row>
    <row r="167" spans="2:11" ht="16.5" customHeight="1">
      <c r="B167" s="58">
        <v>11</v>
      </c>
      <c r="C167" s="68"/>
      <c r="D167" s="59" t="s">
        <v>292</v>
      </c>
      <c r="E167" s="69"/>
      <c r="F167" s="70"/>
      <c r="G167" s="25" t="str">
        <f>IFERROR(VLOOKUP(C167,'🥬 식재료 DB'!$C$7:$H$121,6,0),"")</f>
        <v/>
      </c>
      <c r="H167" s="62" t="str">
        <f t="shared" si="7"/>
        <v/>
      </c>
      <c r="I167" s="63"/>
      <c r="J167" s="63"/>
    </row>
    <row r="168" spans="2:11" ht="16.5" customHeight="1">
      <c r="B168" s="58">
        <v>12</v>
      </c>
      <c r="C168" s="68"/>
      <c r="D168" s="59" t="s">
        <v>292</v>
      </c>
      <c r="E168" s="69"/>
      <c r="F168" s="70"/>
      <c r="G168" s="25" t="str">
        <f>IFERROR(VLOOKUP(C168,'🥬 식재료 DB'!$C$7:$H$121,6,0),"")</f>
        <v/>
      </c>
      <c r="H168" s="62" t="str">
        <f t="shared" si="7"/>
        <v/>
      </c>
      <c r="I168" s="136"/>
      <c r="J168" s="136"/>
    </row>
    <row r="169" spans="2:11" ht="12.75" customHeight="1">
      <c r="B169" s="203" t="s">
        <v>293</v>
      </c>
      <c r="C169" s="203"/>
      <c r="D169" s="203"/>
      <c r="E169" s="203"/>
      <c r="F169" s="203"/>
      <c r="G169" s="203"/>
      <c r="H169" s="203"/>
      <c r="I169" s="203"/>
      <c r="J169" s="203"/>
      <c r="K169" s="203"/>
    </row>
    <row r="170" spans="2:11" ht="16.5" customHeight="1">
      <c r="B170" s="71">
        <v>13</v>
      </c>
      <c r="C170" s="68"/>
      <c r="D170" s="72" t="s">
        <v>295</v>
      </c>
      <c r="E170" s="69"/>
      <c r="F170" s="70"/>
      <c r="G170" s="73" t="str">
        <f>IFERROR(VLOOKUP(C170,'🧪 프렙 원가표'!$C$8:$D$18,2,0),IFERROR(VLOOKUP(C170,'🥬 식재료 DB'!$C$7:$H$121,6,0),""))</f>
        <v/>
      </c>
      <c r="H170" s="74" t="str">
        <f>IFERROR(IF(AND(C170&lt;&gt;"",ISNUMBER(E170),ISNUMBER(F170),F170&gt;0,ISNUMBER(G170)),E170/F170*G170,""),"")</f>
        <v/>
      </c>
      <c r="I170" s="63"/>
      <c r="J170" s="63"/>
    </row>
    <row r="171" spans="2:11" ht="16.5" customHeight="1">
      <c r="B171" s="71">
        <v>14</v>
      </c>
      <c r="C171" s="68"/>
      <c r="D171" s="72" t="s">
        <v>295</v>
      </c>
      <c r="E171" s="69"/>
      <c r="F171" s="70"/>
      <c r="G171" s="73" t="str">
        <f>IFERROR(VLOOKUP(C171,'🧪 프렙 원가표'!$C$8:$D$18,2,0),IFERROR(VLOOKUP(C171,'🥬 식재료 DB'!$C$7:$H$121,6,0),""))</f>
        <v/>
      </c>
      <c r="H171" s="74" t="str">
        <f>IFERROR(IF(AND(C171&lt;&gt;"",ISNUMBER(E171),ISNUMBER(F171),F171&gt;0,ISNUMBER(G171)),E171/F171*G171,""),"")</f>
        <v/>
      </c>
      <c r="I171" s="77"/>
      <c r="J171" s="77"/>
    </row>
    <row r="172" spans="2:11" ht="16.5" customHeight="1">
      <c r="B172" s="71">
        <v>15</v>
      </c>
      <c r="C172" s="68"/>
      <c r="D172" s="72" t="s">
        <v>295</v>
      </c>
      <c r="E172" s="69"/>
      <c r="F172" s="70"/>
      <c r="G172" s="73" t="str">
        <f>IFERROR(VLOOKUP(C172,'🧪 프렙 원가표'!$C$8:$D$18,2,0),IFERROR(VLOOKUP(C172,'🥬 식재료 DB'!$C$7:$H$121,6,0),""))</f>
        <v/>
      </c>
      <c r="H172" s="74" t="str">
        <f>IFERROR(IF(AND(C172&lt;&gt;"",ISNUMBER(E172),ISNUMBER(F172),F172&gt;0,ISNUMBER(G172)),E172/F172*G172,""),"")</f>
        <v/>
      </c>
      <c r="I172" s="63"/>
      <c r="J172" s="63"/>
    </row>
    <row r="173" spans="2:11" ht="16.5" customHeight="1">
      <c r="B173" s="71">
        <v>16</v>
      </c>
      <c r="C173" s="68"/>
      <c r="D173" s="72" t="s">
        <v>295</v>
      </c>
      <c r="E173" s="69"/>
      <c r="F173" s="70"/>
      <c r="G173" s="73" t="str">
        <f>IFERROR(VLOOKUP(C173,'🧪 프렙 원가표'!$C$8:$D$18,2,0),IFERROR(VLOOKUP(C173,'🥬 식재료 DB'!$C$7:$H$121,6,0),""))</f>
        <v/>
      </c>
      <c r="H173" s="74" t="str">
        <f>IFERROR(IF(AND(C173&lt;&gt;"",ISNUMBER(E173),ISNUMBER(F173),F173&gt;0,ISNUMBER(G173)),E173/F173*G173,""),"")</f>
        <v/>
      </c>
      <c r="I173" s="77"/>
      <c r="J173" s="77"/>
    </row>
    <row r="174" spans="2:11" ht="16.5" customHeight="1">
      <c r="B174" s="71">
        <v>17</v>
      </c>
      <c r="C174" s="68"/>
      <c r="D174" s="72" t="s">
        <v>295</v>
      </c>
      <c r="E174" s="69"/>
      <c r="F174" s="70"/>
      <c r="G174" s="73" t="str">
        <f>IFERROR(VLOOKUP(C174,'🧪 프렙 원가표'!$C$8:$D$18,2,0),IFERROR(VLOOKUP(C174,'🥬 식재료 DB'!$C$7:$H$121,6,0),""))</f>
        <v/>
      </c>
      <c r="H174" s="74" t="str">
        <f>IFERROR(IF(AND(C174&lt;&gt;"",ISNUMBER(E174),ISNUMBER(F174),F174&gt;0,ISNUMBER(G174)),E174/F174*G174,""),"")</f>
        <v/>
      </c>
      <c r="I174" s="63"/>
      <c r="J174" s="63"/>
    </row>
    <row r="175" spans="2:11" ht="3.75" customHeight="1">
      <c r="B175" s="78"/>
      <c r="C175" s="78"/>
      <c r="D175" s="78"/>
      <c r="E175" s="78"/>
      <c r="F175" s="78"/>
      <c r="G175" s="78"/>
      <c r="H175" s="78"/>
      <c r="I175" s="78"/>
      <c r="J175" s="78"/>
      <c r="K175" s="78"/>
    </row>
    <row r="176" spans="2:11" ht="27" customHeight="1">
      <c r="B176" s="50"/>
      <c r="C176" s="51" t="s">
        <v>436</v>
      </c>
      <c r="D176" s="50"/>
      <c r="E176" s="52">
        <v>3000</v>
      </c>
      <c r="F176" s="53">
        <f>IFERROR(SUM(H178,H179,H180,H181,H182,H183,H184,H185,H186,H187,H188,H189,H191,H192,H193,H194,H195),0)</f>
        <v>0</v>
      </c>
      <c r="G176" s="54">
        <f>IFERROR(E176*'💰 고정비용 DB'!$D$22/'💰 고정비용 DB'!$D$25,0)</f>
        <v>1980.8911979402444</v>
      </c>
      <c r="H176" s="55">
        <f>IFERROR(G176-F176,"")</f>
        <v>1980.8911979402444</v>
      </c>
      <c r="I176" s="56">
        <f>IFERROR(H176/E176,"")</f>
        <v>0.66029706598008142</v>
      </c>
      <c r="J176" s="57" t="str">
        <f>IF(I176="","⬜ 미입력",IF(I176&lt;=0.2,"✅ 양호",IF(I176&lt;=0.32,"🟡 주의","🔴 과다")))</f>
        <v>🔴 과다</v>
      </c>
      <c r="K176" s="50"/>
    </row>
    <row r="177" spans="2:11" ht="12.75" customHeight="1">
      <c r="B177" s="204" t="s">
        <v>291</v>
      </c>
      <c r="C177" s="204"/>
      <c r="D177" s="204"/>
      <c r="E177" s="204"/>
      <c r="F177" s="204"/>
      <c r="G177" s="204"/>
      <c r="H177" s="204"/>
      <c r="I177" s="204"/>
      <c r="J177" s="204"/>
      <c r="K177" s="204"/>
    </row>
    <row r="178" spans="2:11" ht="16.5" customHeight="1">
      <c r="B178" s="58">
        <v>1</v>
      </c>
      <c r="C178" s="68"/>
      <c r="D178" s="59" t="s">
        <v>292</v>
      </c>
      <c r="E178" s="69"/>
      <c r="F178" s="70"/>
      <c r="G178" s="25" t="str">
        <f>IFERROR(VLOOKUP(C178,'🥬 식재료 DB'!$C$7:$H$121,6,0),"")</f>
        <v/>
      </c>
      <c r="H178" s="62" t="str">
        <f t="shared" ref="H178:H189" si="8">IFERROR(IF(AND(C178&lt;&gt;"",ISNUMBER(E178),ISNUMBER(F178),F178&gt;0,ISNUMBER(G178)),E178/F178*G178,""),"")</f>
        <v/>
      </c>
      <c r="I178" s="63"/>
      <c r="J178" s="63"/>
    </row>
    <row r="179" spans="2:11" ht="16.5" customHeight="1">
      <c r="B179" s="58">
        <v>2</v>
      </c>
      <c r="C179" s="68"/>
      <c r="D179" s="59" t="s">
        <v>292</v>
      </c>
      <c r="E179" s="69"/>
      <c r="F179" s="70"/>
      <c r="G179" s="25" t="str">
        <f>IFERROR(VLOOKUP(C179,'🥬 식재료 DB'!$C$7:$H$121,6,0),"")</f>
        <v/>
      </c>
      <c r="H179" s="62" t="str">
        <f t="shared" si="8"/>
        <v/>
      </c>
      <c r="I179" s="136"/>
      <c r="J179" s="136"/>
    </row>
    <row r="180" spans="2:11" ht="16.5" customHeight="1">
      <c r="B180" s="58">
        <v>3</v>
      </c>
      <c r="C180" s="68"/>
      <c r="D180" s="59" t="s">
        <v>292</v>
      </c>
      <c r="E180" s="69"/>
      <c r="F180" s="70"/>
      <c r="G180" s="25" t="str">
        <f>IFERROR(VLOOKUP(C180,'🥬 식재료 DB'!$C$7:$H$121,6,0),"")</f>
        <v/>
      </c>
      <c r="H180" s="62" t="str">
        <f t="shared" si="8"/>
        <v/>
      </c>
      <c r="I180" s="63"/>
      <c r="J180" s="63"/>
    </row>
    <row r="181" spans="2:11" ht="16.5" customHeight="1">
      <c r="B181" s="58">
        <v>4</v>
      </c>
      <c r="C181" s="68"/>
      <c r="D181" s="59" t="s">
        <v>292</v>
      </c>
      <c r="E181" s="69"/>
      <c r="F181" s="70"/>
      <c r="G181" s="25" t="str">
        <f>IFERROR(VLOOKUP(C181,'🥬 식재료 DB'!$C$7:$H$121,6,0),"")</f>
        <v/>
      </c>
      <c r="H181" s="62" t="str">
        <f t="shared" si="8"/>
        <v/>
      </c>
      <c r="I181" s="136"/>
      <c r="J181" s="136"/>
    </row>
    <row r="182" spans="2:11" ht="16.5" customHeight="1">
      <c r="B182" s="58">
        <v>5</v>
      </c>
      <c r="C182" s="68"/>
      <c r="D182" s="59" t="s">
        <v>292</v>
      </c>
      <c r="E182" s="69"/>
      <c r="F182" s="70"/>
      <c r="G182" s="25" t="str">
        <f>IFERROR(VLOOKUP(C182,'🥬 식재료 DB'!$C$7:$H$121,6,0),"")</f>
        <v/>
      </c>
      <c r="H182" s="62" t="str">
        <f t="shared" si="8"/>
        <v/>
      </c>
      <c r="I182" s="63"/>
      <c r="J182" s="63"/>
    </row>
    <row r="183" spans="2:11" ht="16.5" customHeight="1">
      <c r="B183" s="58">
        <v>6</v>
      </c>
      <c r="C183" s="68"/>
      <c r="D183" s="59" t="s">
        <v>292</v>
      </c>
      <c r="E183" s="69"/>
      <c r="F183" s="70"/>
      <c r="G183" s="25" t="str">
        <f>IFERROR(VLOOKUP(C183,'🥬 식재료 DB'!$C$7:$H$121,6,0),"")</f>
        <v/>
      </c>
      <c r="H183" s="62" t="str">
        <f t="shared" si="8"/>
        <v/>
      </c>
      <c r="I183" s="136"/>
      <c r="J183" s="136"/>
    </row>
    <row r="184" spans="2:11" ht="16.5" customHeight="1">
      <c r="B184" s="58">
        <v>7</v>
      </c>
      <c r="C184" s="68"/>
      <c r="D184" s="59" t="s">
        <v>292</v>
      </c>
      <c r="E184" s="69"/>
      <c r="F184" s="70"/>
      <c r="G184" s="25" t="str">
        <f>IFERROR(VLOOKUP(C184,'🥬 식재료 DB'!$C$7:$H$121,6,0),"")</f>
        <v/>
      </c>
      <c r="H184" s="62" t="str">
        <f t="shared" si="8"/>
        <v/>
      </c>
      <c r="I184" s="63"/>
      <c r="J184" s="63"/>
    </row>
    <row r="185" spans="2:11" ht="16.5" customHeight="1">
      <c r="B185" s="58">
        <v>8</v>
      </c>
      <c r="C185" s="68"/>
      <c r="D185" s="59" t="s">
        <v>292</v>
      </c>
      <c r="E185" s="69"/>
      <c r="F185" s="70"/>
      <c r="G185" s="25" t="str">
        <f>IFERROR(VLOOKUP(C185,'🥬 식재료 DB'!$C$7:$H$121,6,0),"")</f>
        <v/>
      </c>
      <c r="H185" s="62" t="str">
        <f t="shared" si="8"/>
        <v/>
      </c>
      <c r="I185" s="136"/>
      <c r="J185" s="136"/>
    </row>
    <row r="186" spans="2:11" ht="16.5" customHeight="1">
      <c r="B186" s="58">
        <v>9</v>
      </c>
      <c r="C186" s="68"/>
      <c r="D186" s="59" t="s">
        <v>292</v>
      </c>
      <c r="E186" s="69"/>
      <c r="F186" s="70"/>
      <c r="G186" s="25" t="str">
        <f>IFERROR(VLOOKUP(C186,'🥬 식재료 DB'!$C$7:$H$121,6,0),"")</f>
        <v/>
      </c>
      <c r="H186" s="62" t="str">
        <f t="shared" si="8"/>
        <v/>
      </c>
      <c r="I186" s="63"/>
      <c r="J186" s="63"/>
    </row>
    <row r="187" spans="2:11" ht="16.5" customHeight="1">
      <c r="B187" s="58">
        <v>10</v>
      </c>
      <c r="C187" s="68"/>
      <c r="D187" s="59" t="s">
        <v>292</v>
      </c>
      <c r="E187" s="69"/>
      <c r="F187" s="70"/>
      <c r="G187" s="25" t="str">
        <f>IFERROR(VLOOKUP(C187,'🥬 식재료 DB'!$C$7:$H$121,6,0),"")</f>
        <v/>
      </c>
      <c r="H187" s="62" t="str">
        <f t="shared" si="8"/>
        <v/>
      </c>
      <c r="I187" s="136"/>
      <c r="J187" s="136"/>
    </row>
    <row r="188" spans="2:11" ht="16.5" customHeight="1">
      <c r="B188" s="58">
        <v>11</v>
      </c>
      <c r="C188" s="68"/>
      <c r="D188" s="59" t="s">
        <v>292</v>
      </c>
      <c r="E188" s="69"/>
      <c r="F188" s="70"/>
      <c r="G188" s="25" t="str">
        <f>IFERROR(VLOOKUP(C188,'🥬 식재료 DB'!$C$7:$H$121,6,0),"")</f>
        <v/>
      </c>
      <c r="H188" s="62" t="str">
        <f t="shared" si="8"/>
        <v/>
      </c>
      <c r="I188" s="63"/>
      <c r="J188" s="63"/>
    </row>
    <row r="189" spans="2:11" ht="16.5" customHeight="1">
      <c r="B189" s="58">
        <v>12</v>
      </c>
      <c r="C189" s="68"/>
      <c r="D189" s="59" t="s">
        <v>292</v>
      </c>
      <c r="E189" s="69"/>
      <c r="F189" s="70"/>
      <c r="G189" s="25" t="str">
        <f>IFERROR(VLOOKUP(C189,'🥬 식재료 DB'!$C$7:$H$121,6,0),"")</f>
        <v/>
      </c>
      <c r="H189" s="62" t="str">
        <f t="shared" si="8"/>
        <v/>
      </c>
      <c r="I189" s="136"/>
      <c r="J189" s="136"/>
    </row>
    <row r="190" spans="2:11" ht="12.75" customHeight="1">
      <c r="B190" s="203" t="s">
        <v>293</v>
      </c>
      <c r="C190" s="203"/>
      <c r="D190" s="203"/>
      <c r="E190" s="203"/>
      <c r="F190" s="203"/>
      <c r="G190" s="203"/>
      <c r="H190" s="203"/>
      <c r="I190" s="203"/>
      <c r="J190" s="203"/>
      <c r="K190" s="203"/>
    </row>
    <row r="191" spans="2:11" ht="16.5" customHeight="1">
      <c r="B191" s="71">
        <v>13</v>
      </c>
      <c r="C191" s="68"/>
      <c r="D191" s="72" t="s">
        <v>295</v>
      </c>
      <c r="E191" s="69"/>
      <c r="F191" s="70"/>
      <c r="G191" s="73" t="str">
        <f>IFERROR(VLOOKUP(C191,'🧪 프렙 원가표'!$C$8:$D$18,2,0),IFERROR(VLOOKUP(C191,'🥬 식재료 DB'!$C$7:$H$121,6,0),""))</f>
        <v/>
      </c>
      <c r="H191" s="74" t="str">
        <f>IFERROR(IF(AND(C191&lt;&gt;"",ISNUMBER(E191),ISNUMBER(F191),F191&gt;0,ISNUMBER(G191)),E191/F191*G191,""),"")</f>
        <v/>
      </c>
      <c r="I191" s="63"/>
      <c r="J191" s="63"/>
    </row>
    <row r="192" spans="2:11" ht="16.5" customHeight="1">
      <c r="B192" s="71">
        <v>14</v>
      </c>
      <c r="C192" s="68"/>
      <c r="D192" s="72" t="s">
        <v>295</v>
      </c>
      <c r="E192" s="69"/>
      <c r="F192" s="70"/>
      <c r="G192" s="73" t="str">
        <f>IFERROR(VLOOKUP(C192,'🧪 프렙 원가표'!$C$8:$D$18,2,0),IFERROR(VLOOKUP(C192,'🥬 식재료 DB'!$C$7:$H$121,6,0),""))</f>
        <v/>
      </c>
      <c r="H192" s="74" t="str">
        <f>IFERROR(IF(AND(C192&lt;&gt;"",ISNUMBER(E192),ISNUMBER(F192),F192&gt;0,ISNUMBER(G192)),E192/F192*G192,""),"")</f>
        <v/>
      </c>
      <c r="I192" s="77"/>
      <c r="J192" s="77"/>
    </row>
    <row r="193" spans="2:11" ht="16.5" customHeight="1">
      <c r="B193" s="71">
        <v>15</v>
      </c>
      <c r="C193" s="68"/>
      <c r="D193" s="72" t="s">
        <v>295</v>
      </c>
      <c r="E193" s="69"/>
      <c r="F193" s="70"/>
      <c r="G193" s="73" t="str">
        <f>IFERROR(VLOOKUP(C193,'🧪 프렙 원가표'!$C$8:$D$18,2,0),IFERROR(VLOOKUP(C193,'🥬 식재료 DB'!$C$7:$H$121,6,0),""))</f>
        <v/>
      </c>
      <c r="H193" s="74" t="str">
        <f>IFERROR(IF(AND(C193&lt;&gt;"",ISNUMBER(E193),ISNUMBER(F193),F193&gt;0,ISNUMBER(G193)),E193/F193*G193,""),"")</f>
        <v/>
      </c>
      <c r="I193" s="63"/>
      <c r="J193" s="63"/>
    </row>
    <row r="194" spans="2:11" ht="16.5" customHeight="1">
      <c r="B194" s="71">
        <v>16</v>
      </c>
      <c r="C194" s="68"/>
      <c r="D194" s="72" t="s">
        <v>295</v>
      </c>
      <c r="E194" s="69"/>
      <c r="F194" s="70"/>
      <c r="G194" s="73" t="str">
        <f>IFERROR(VLOOKUP(C194,'🧪 프렙 원가표'!$C$8:$D$18,2,0),IFERROR(VLOOKUP(C194,'🥬 식재료 DB'!$C$7:$H$121,6,0),""))</f>
        <v/>
      </c>
      <c r="H194" s="74" t="str">
        <f>IFERROR(IF(AND(C194&lt;&gt;"",ISNUMBER(E194),ISNUMBER(F194),F194&gt;0,ISNUMBER(G194)),E194/F194*G194,""),"")</f>
        <v/>
      </c>
      <c r="I194" s="77"/>
      <c r="J194" s="77"/>
    </row>
    <row r="195" spans="2:11" ht="16.5" customHeight="1">
      <c r="B195" s="71">
        <v>17</v>
      </c>
      <c r="C195" s="68"/>
      <c r="D195" s="72" t="s">
        <v>295</v>
      </c>
      <c r="E195" s="69"/>
      <c r="F195" s="70"/>
      <c r="G195" s="73" t="str">
        <f>IFERROR(VLOOKUP(C195,'🧪 프렙 원가표'!$C$8:$D$18,2,0),IFERROR(VLOOKUP(C195,'🥬 식재료 DB'!$C$7:$H$121,6,0),""))</f>
        <v/>
      </c>
      <c r="H195" s="74" t="str">
        <f>IFERROR(IF(AND(C195&lt;&gt;"",ISNUMBER(E195),ISNUMBER(F195),F195&gt;0,ISNUMBER(G195)),E195/F195*G195,""),"")</f>
        <v/>
      </c>
      <c r="I195" s="63"/>
      <c r="J195" s="63"/>
    </row>
    <row r="196" spans="2:11" ht="3.75" customHeight="1">
      <c r="B196" s="78"/>
      <c r="C196" s="78"/>
      <c r="D196" s="78"/>
      <c r="E196" s="78"/>
      <c r="F196" s="78"/>
      <c r="G196" s="78"/>
      <c r="H196" s="78"/>
      <c r="I196" s="78"/>
      <c r="J196" s="78"/>
      <c r="K196" s="78"/>
    </row>
    <row r="197" spans="2:11" ht="27" customHeight="1">
      <c r="B197" s="50"/>
      <c r="C197" s="51" t="s">
        <v>437</v>
      </c>
      <c r="D197" s="50"/>
      <c r="E197" s="52">
        <v>3000</v>
      </c>
      <c r="F197" s="53">
        <f>IFERROR(SUM(H199,H200,H201,H202,H203,H204,H205,H206,H207,H208,H209,H210,H212,H213,H214,H215,H216),0)</f>
        <v>0</v>
      </c>
      <c r="G197" s="54">
        <f>IFERROR(E197*'💰 고정비용 DB'!$D$22/'💰 고정비용 DB'!$D$25,0)</f>
        <v>1980.8911979402444</v>
      </c>
      <c r="H197" s="55">
        <f>IFERROR(G197-F197,"")</f>
        <v>1980.8911979402444</v>
      </c>
      <c r="I197" s="56">
        <f>IFERROR(H197/E197,"")</f>
        <v>0.66029706598008142</v>
      </c>
      <c r="J197" s="57" t="str">
        <f>IF(I197="","⬜ 미입력",IF(I197&lt;=0.2,"✅ 양호",IF(I197&lt;=0.32,"🟡 주의","🔴 과다")))</f>
        <v>🔴 과다</v>
      </c>
      <c r="K197" s="50"/>
    </row>
    <row r="198" spans="2:11" ht="12.75" customHeight="1">
      <c r="B198" s="204" t="s">
        <v>291</v>
      </c>
      <c r="C198" s="204"/>
      <c r="D198" s="204"/>
      <c r="E198" s="204"/>
      <c r="F198" s="204"/>
      <c r="G198" s="204"/>
      <c r="H198" s="204"/>
      <c r="I198" s="204"/>
      <c r="J198" s="204"/>
      <c r="K198" s="204"/>
    </row>
    <row r="199" spans="2:11" ht="16.5" customHeight="1">
      <c r="B199" s="58">
        <v>1</v>
      </c>
      <c r="C199" s="68"/>
      <c r="D199" s="59" t="s">
        <v>292</v>
      </c>
      <c r="E199" s="69"/>
      <c r="F199" s="70"/>
      <c r="G199" s="25" t="str">
        <f>IFERROR(VLOOKUP(C199,'🥬 식재료 DB'!$C$7:$H$121,6,0),"")</f>
        <v/>
      </c>
      <c r="H199" s="62" t="str">
        <f t="shared" ref="H199:H210" si="9">IFERROR(IF(AND(C199&lt;&gt;"",ISNUMBER(E199),ISNUMBER(F199),F199&gt;0,ISNUMBER(G199)),E199/F199*G199,""),"")</f>
        <v/>
      </c>
      <c r="I199" s="63"/>
      <c r="J199" s="63"/>
    </row>
    <row r="200" spans="2:11" ht="16.5" customHeight="1">
      <c r="B200" s="58">
        <v>2</v>
      </c>
      <c r="C200" s="68"/>
      <c r="D200" s="59" t="s">
        <v>292</v>
      </c>
      <c r="E200" s="69"/>
      <c r="F200" s="70"/>
      <c r="G200" s="25" t="str">
        <f>IFERROR(VLOOKUP(C200,'🥬 식재료 DB'!$C$7:$H$121,6,0),"")</f>
        <v/>
      </c>
      <c r="H200" s="62" t="str">
        <f t="shared" si="9"/>
        <v/>
      </c>
      <c r="I200" s="136"/>
      <c r="J200" s="136"/>
    </row>
    <row r="201" spans="2:11" ht="16.5" customHeight="1">
      <c r="B201" s="58">
        <v>3</v>
      </c>
      <c r="C201" s="68"/>
      <c r="D201" s="59" t="s">
        <v>292</v>
      </c>
      <c r="E201" s="69"/>
      <c r="F201" s="70"/>
      <c r="G201" s="25" t="str">
        <f>IFERROR(VLOOKUP(C201,'🥬 식재료 DB'!$C$7:$H$121,6,0),"")</f>
        <v/>
      </c>
      <c r="H201" s="62" t="str">
        <f t="shared" si="9"/>
        <v/>
      </c>
      <c r="I201" s="63"/>
      <c r="J201" s="63"/>
    </row>
    <row r="202" spans="2:11" ht="16.5" customHeight="1">
      <c r="B202" s="58">
        <v>4</v>
      </c>
      <c r="C202" s="68"/>
      <c r="D202" s="59" t="s">
        <v>292</v>
      </c>
      <c r="E202" s="69"/>
      <c r="F202" s="70"/>
      <c r="G202" s="25" t="str">
        <f>IFERROR(VLOOKUP(C202,'🥬 식재료 DB'!$C$7:$H$121,6,0),"")</f>
        <v/>
      </c>
      <c r="H202" s="62" t="str">
        <f t="shared" si="9"/>
        <v/>
      </c>
      <c r="I202" s="136"/>
      <c r="J202" s="136"/>
    </row>
    <row r="203" spans="2:11" ht="16.5" customHeight="1">
      <c r="B203" s="58">
        <v>5</v>
      </c>
      <c r="C203" s="68"/>
      <c r="D203" s="59" t="s">
        <v>292</v>
      </c>
      <c r="E203" s="69"/>
      <c r="F203" s="70"/>
      <c r="G203" s="25" t="str">
        <f>IFERROR(VLOOKUP(C203,'🥬 식재료 DB'!$C$7:$H$121,6,0),"")</f>
        <v/>
      </c>
      <c r="H203" s="62" t="str">
        <f t="shared" si="9"/>
        <v/>
      </c>
      <c r="I203" s="63"/>
      <c r="J203" s="63"/>
    </row>
    <row r="204" spans="2:11" ht="16.5" customHeight="1">
      <c r="B204" s="58">
        <v>6</v>
      </c>
      <c r="C204" s="68"/>
      <c r="D204" s="59" t="s">
        <v>292</v>
      </c>
      <c r="E204" s="69"/>
      <c r="F204" s="70"/>
      <c r="G204" s="25" t="str">
        <f>IFERROR(VLOOKUP(C204,'🥬 식재료 DB'!$C$7:$H$121,6,0),"")</f>
        <v/>
      </c>
      <c r="H204" s="62" t="str">
        <f t="shared" si="9"/>
        <v/>
      </c>
      <c r="I204" s="136"/>
      <c r="J204" s="136"/>
    </row>
    <row r="205" spans="2:11" ht="16.5" customHeight="1">
      <c r="B205" s="58">
        <v>7</v>
      </c>
      <c r="C205" s="68"/>
      <c r="D205" s="59" t="s">
        <v>292</v>
      </c>
      <c r="E205" s="69"/>
      <c r="F205" s="70"/>
      <c r="G205" s="25" t="str">
        <f>IFERROR(VLOOKUP(C205,'🥬 식재료 DB'!$C$7:$H$121,6,0),"")</f>
        <v/>
      </c>
      <c r="H205" s="62" t="str">
        <f t="shared" si="9"/>
        <v/>
      </c>
      <c r="I205" s="63"/>
      <c r="J205" s="63"/>
    </row>
    <row r="206" spans="2:11" ht="16.5" customHeight="1">
      <c r="B206" s="58">
        <v>8</v>
      </c>
      <c r="C206" s="68"/>
      <c r="D206" s="59" t="s">
        <v>292</v>
      </c>
      <c r="E206" s="69"/>
      <c r="F206" s="70"/>
      <c r="G206" s="25" t="str">
        <f>IFERROR(VLOOKUP(C206,'🥬 식재료 DB'!$C$7:$H$121,6,0),"")</f>
        <v/>
      </c>
      <c r="H206" s="62" t="str">
        <f t="shared" si="9"/>
        <v/>
      </c>
      <c r="I206" s="136"/>
      <c r="J206" s="136"/>
    </row>
    <row r="207" spans="2:11" ht="16.5" customHeight="1">
      <c r="B207" s="58">
        <v>9</v>
      </c>
      <c r="C207" s="68"/>
      <c r="D207" s="59" t="s">
        <v>292</v>
      </c>
      <c r="E207" s="69"/>
      <c r="F207" s="70"/>
      <c r="G207" s="25" t="str">
        <f>IFERROR(VLOOKUP(C207,'🥬 식재료 DB'!$C$7:$H$121,6,0),"")</f>
        <v/>
      </c>
      <c r="H207" s="62" t="str">
        <f t="shared" si="9"/>
        <v/>
      </c>
      <c r="I207" s="63"/>
      <c r="J207" s="63"/>
    </row>
    <row r="208" spans="2:11" ht="16.5" customHeight="1">
      <c r="B208" s="58">
        <v>10</v>
      </c>
      <c r="C208" s="68"/>
      <c r="D208" s="59" t="s">
        <v>292</v>
      </c>
      <c r="E208" s="69"/>
      <c r="F208" s="70"/>
      <c r="G208" s="25" t="str">
        <f>IFERROR(VLOOKUP(C208,'🥬 식재료 DB'!$C$7:$H$121,6,0),"")</f>
        <v/>
      </c>
      <c r="H208" s="62" t="str">
        <f t="shared" si="9"/>
        <v/>
      </c>
      <c r="I208" s="136"/>
      <c r="J208" s="136"/>
    </row>
    <row r="209" spans="2:11" ht="16.5" customHeight="1">
      <c r="B209" s="58">
        <v>11</v>
      </c>
      <c r="C209" s="68"/>
      <c r="D209" s="59" t="s">
        <v>292</v>
      </c>
      <c r="E209" s="69"/>
      <c r="F209" s="70"/>
      <c r="G209" s="25" t="str">
        <f>IFERROR(VLOOKUP(C209,'🥬 식재료 DB'!$C$7:$H$121,6,0),"")</f>
        <v/>
      </c>
      <c r="H209" s="62" t="str">
        <f t="shared" si="9"/>
        <v/>
      </c>
      <c r="I209" s="63"/>
      <c r="J209" s="63"/>
    </row>
    <row r="210" spans="2:11" ht="16.5" customHeight="1">
      <c r="B210" s="58">
        <v>12</v>
      </c>
      <c r="C210" s="68"/>
      <c r="D210" s="59" t="s">
        <v>292</v>
      </c>
      <c r="E210" s="69"/>
      <c r="F210" s="70"/>
      <c r="G210" s="25" t="str">
        <f>IFERROR(VLOOKUP(C210,'🥬 식재료 DB'!$C$7:$H$121,6,0),"")</f>
        <v/>
      </c>
      <c r="H210" s="62" t="str">
        <f t="shared" si="9"/>
        <v/>
      </c>
      <c r="I210" s="136"/>
      <c r="J210" s="136"/>
    </row>
    <row r="211" spans="2:11" ht="12.75" customHeight="1">
      <c r="B211" s="203" t="s">
        <v>293</v>
      </c>
      <c r="C211" s="203"/>
      <c r="D211" s="203"/>
      <c r="E211" s="203"/>
      <c r="F211" s="203"/>
      <c r="G211" s="203"/>
      <c r="H211" s="203"/>
      <c r="I211" s="203"/>
      <c r="J211" s="203"/>
      <c r="K211" s="203"/>
    </row>
    <row r="212" spans="2:11" ht="16.5" customHeight="1">
      <c r="B212" s="71">
        <v>13</v>
      </c>
      <c r="C212" s="68"/>
      <c r="D212" s="72" t="s">
        <v>295</v>
      </c>
      <c r="E212" s="69"/>
      <c r="F212" s="70"/>
      <c r="G212" s="73" t="str">
        <f>IFERROR(VLOOKUP(C212,'🧪 프렙 원가표'!$C$8:$D$18,2,0),IFERROR(VLOOKUP(C212,'🥬 식재료 DB'!$C$7:$H$121,6,0),""))</f>
        <v/>
      </c>
      <c r="H212" s="74" t="str">
        <f>IFERROR(IF(AND(C212&lt;&gt;"",ISNUMBER(E212),ISNUMBER(F212),F212&gt;0,ISNUMBER(G212)),E212/F212*G212,""),"")</f>
        <v/>
      </c>
      <c r="I212" s="63"/>
      <c r="J212" s="63"/>
    </row>
    <row r="213" spans="2:11" ht="16.5" customHeight="1">
      <c r="B213" s="71">
        <v>14</v>
      </c>
      <c r="C213" s="68"/>
      <c r="D213" s="72" t="s">
        <v>295</v>
      </c>
      <c r="E213" s="69"/>
      <c r="F213" s="70"/>
      <c r="G213" s="73" t="str">
        <f>IFERROR(VLOOKUP(C213,'🧪 프렙 원가표'!$C$8:$D$18,2,0),IFERROR(VLOOKUP(C213,'🥬 식재료 DB'!$C$7:$H$121,6,0),""))</f>
        <v/>
      </c>
      <c r="H213" s="74" t="str">
        <f>IFERROR(IF(AND(C213&lt;&gt;"",ISNUMBER(E213),ISNUMBER(F213),F213&gt;0,ISNUMBER(G213)),E213/F213*G213,""),"")</f>
        <v/>
      </c>
      <c r="I213" s="77"/>
      <c r="J213" s="77"/>
    </row>
    <row r="214" spans="2:11" ht="16.5" customHeight="1">
      <c r="B214" s="71">
        <v>15</v>
      </c>
      <c r="C214" s="68"/>
      <c r="D214" s="72" t="s">
        <v>295</v>
      </c>
      <c r="E214" s="69"/>
      <c r="F214" s="70"/>
      <c r="G214" s="73" t="str">
        <f>IFERROR(VLOOKUP(C214,'🧪 프렙 원가표'!$C$8:$D$18,2,0),IFERROR(VLOOKUP(C214,'🥬 식재료 DB'!$C$7:$H$121,6,0),""))</f>
        <v/>
      </c>
      <c r="H214" s="74" t="str">
        <f>IFERROR(IF(AND(C214&lt;&gt;"",ISNUMBER(E214),ISNUMBER(F214),F214&gt;0,ISNUMBER(G214)),E214/F214*G214,""),"")</f>
        <v/>
      </c>
      <c r="I214" s="63"/>
      <c r="J214" s="63"/>
    </row>
    <row r="215" spans="2:11" ht="16.5" customHeight="1">
      <c r="B215" s="71">
        <v>16</v>
      </c>
      <c r="C215" s="68"/>
      <c r="D215" s="72" t="s">
        <v>295</v>
      </c>
      <c r="E215" s="69"/>
      <c r="F215" s="70"/>
      <c r="G215" s="73" t="str">
        <f>IFERROR(VLOOKUP(C215,'🧪 프렙 원가표'!$C$8:$D$18,2,0),IFERROR(VLOOKUP(C215,'🥬 식재료 DB'!$C$7:$H$121,6,0),""))</f>
        <v/>
      </c>
      <c r="H215" s="74" t="str">
        <f>IFERROR(IF(AND(C215&lt;&gt;"",ISNUMBER(E215),ISNUMBER(F215),F215&gt;0,ISNUMBER(G215)),E215/F215*G215,""),"")</f>
        <v/>
      </c>
      <c r="I215" s="77"/>
      <c r="J215" s="77"/>
    </row>
    <row r="216" spans="2:11" ht="16.5" customHeight="1">
      <c r="B216" s="71">
        <v>17</v>
      </c>
      <c r="C216" s="68"/>
      <c r="D216" s="72" t="s">
        <v>295</v>
      </c>
      <c r="E216" s="69"/>
      <c r="F216" s="70"/>
      <c r="G216" s="73" t="str">
        <f>IFERROR(VLOOKUP(C216,'🧪 프렙 원가표'!$C$8:$D$18,2,0),IFERROR(VLOOKUP(C216,'🥬 식재료 DB'!$C$7:$H$121,6,0),""))</f>
        <v/>
      </c>
      <c r="H216" s="74" t="str">
        <f>IFERROR(IF(AND(C216&lt;&gt;"",ISNUMBER(E216),ISNUMBER(F216),F216&gt;0,ISNUMBER(G216)),E216/F216*G216,""),"")</f>
        <v/>
      </c>
      <c r="I216" s="63"/>
      <c r="J216" s="63"/>
    </row>
    <row r="217" spans="2:11" ht="3.75" customHeight="1">
      <c r="B217" s="78"/>
      <c r="C217" s="78"/>
      <c r="D217" s="78"/>
      <c r="E217" s="78"/>
      <c r="F217" s="78"/>
      <c r="G217" s="78"/>
      <c r="H217" s="78"/>
      <c r="I217" s="78"/>
      <c r="J217" s="78"/>
      <c r="K217" s="78"/>
    </row>
  </sheetData>
  <mergeCells count="23">
    <mergeCell ref="B2:K2"/>
    <mergeCell ref="B4:K4"/>
    <mergeCell ref="B5:K5"/>
    <mergeCell ref="B9:K9"/>
    <mergeCell ref="B22:K22"/>
    <mergeCell ref="B30:K30"/>
    <mergeCell ref="B43:K43"/>
    <mergeCell ref="B51:K51"/>
    <mergeCell ref="B64:K64"/>
    <mergeCell ref="B72:K72"/>
    <mergeCell ref="B85:K85"/>
    <mergeCell ref="B93:K93"/>
    <mergeCell ref="B106:K106"/>
    <mergeCell ref="B114:K114"/>
    <mergeCell ref="B127:K127"/>
    <mergeCell ref="B190:K190"/>
    <mergeCell ref="B198:K198"/>
    <mergeCell ref="B211:K211"/>
    <mergeCell ref="B135:K135"/>
    <mergeCell ref="B148:K148"/>
    <mergeCell ref="B156:K156"/>
    <mergeCell ref="B169:K169"/>
    <mergeCell ref="B177:K177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148C"/>
  </sheetPr>
  <dimension ref="A1:K70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8.6640625" defaultRowHeight="14.4"/>
  <cols>
    <col min="1" max="1" width="3" style="1" customWidth="1"/>
    <col min="2" max="2" width="4" style="1" customWidth="1"/>
    <col min="3" max="3" width="28" style="1" customWidth="1"/>
    <col min="4" max="4" width="7" style="1" customWidth="1"/>
    <col min="5" max="5" width="14" style="1" customWidth="1"/>
    <col min="6" max="6" width="13" style="1" customWidth="1"/>
    <col min="7" max="8" width="14" style="1" customWidth="1"/>
    <col min="9" max="9" width="12" style="1" customWidth="1"/>
    <col min="10" max="10" width="13" style="1" customWidth="1"/>
    <col min="11" max="11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16" t="s">
        <v>438</v>
      </c>
      <c r="C2" s="216"/>
      <c r="D2" s="216"/>
      <c r="E2" s="216"/>
      <c r="F2" s="216"/>
      <c r="G2" s="216"/>
      <c r="H2" s="216"/>
      <c r="I2" s="216"/>
      <c r="J2" s="216"/>
      <c r="K2" s="216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282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18.75" customHeight="1">
      <c r="B5" s="206" t="s">
        <v>283</v>
      </c>
      <c r="C5" s="206"/>
      <c r="D5" s="206"/>
      <c r="E5" s="206"/>
      <c r="F5" s="206"/>
      <c r="G5" s="206"/>
      <c r="H5" s="206"/>
      <c r="I5" s="206"/>
      <c r="J5" s="206"/>
      <c r="K5" s="206"/>
    </row>
    <row r="6" spans="2:11" ht="6" customHeight="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1.75" customHeight="1">
      <c r="B7" s="137" t="s">
        <v>6</v>
      </c>
      <c r="C7" s="138" t="s">
        <v>130</v>
      </c>
      <c r="D7" s="138" t="s">
        <v>284</v>
      </c>
      <c r="E7" s="138" t="s">
        <v>285</v>
      </c>
      <c r="F7" s="138" t="s">
        <v>286</v>
      </c>
      <c r="G7" s="137" t="s">
        <v>287</v>
      </c>
      <c r="H7" s="138" t="s">
        <v>288</v>
      </c>
      <c r="I7" s="138" t="s">
        <v>289</v>
      </c>
    </row>
    <row r="8" spans="2:11" ht="27" customHeight="1">
      <c r="B8" s="50"/>
      <c r="C8" s="139" t="s">
        <v>439</v>
      </c>
      <c r="D8" s="50"/>
      <c r="E8" s="52">
        <v>32000</v>
      </c>
      <c r="F8" s="53">
        <f>IFERROR(SUM(H10,H11,H12,H13,H14,H15,H16,H17,H18,H19,H20,H21,H23,H24,H25,H26,H27),0)</f>
        <v>0</v>
      </c>
      <c r="G8" s="54">
        <f>IFERROR(E8*'💰 고정비용 DB'!$D$22/'💰 고정비용 DB'!$D$25,0)</f>
        <v>21129.506111362607</v>
      </c>
      <c r="H8" s="55">
        <f>IFERROR(F8+G8,"")</f>
        <v>21129.506111362607</v>
      </c>
      <c r="I8" s="56">
        <f>IFERROR(H8/E8,"")</f>
        <v>0.66029706598008142</v>
      </c>
      <c r="J8" s="57" t="str">
        <f>IF(I8="","⬜ 미입력",IF(I8&lt;=0.2,"✅ 양호",IF(I8&lt;=0.32,"🟡 주의","🔴 과다")))</f>
        <v>🔴 과다</v>
      </c>
      <c r="K8" s="50"/>
    </row>
    <row r="9" spans="2:11" ht="12.75" customHeight="1">
      <c r="B9" s="204" t="s">
        <v>291</v>
      </c>
      <c r="C9" s="204"/>
      <c r="D9" s="204"/>
      <c r="E9" s="204"/>
      <c r="F9" s="204"/>
      <c r="G9" s="204"/>
      <c r="H9" s="204"/>
      <c r="I9" s="204"/>
      <c r="J9" s="204"/>
      <c r="K9" s="204"/>
    </row>
    <row r="10" spans="2:11" ht="16.5" customHeight="1">
      <c r="B10" s="58">
        <v>1</v>
      </c>
      <c r="C10" s="6" t="s">
        <v>440</v>
      </c>
      <c r="D10" s="59" t="s">
        <v>292</v>
      </c>
      <c r="E10" s="60">
        <v>2</v>
      </c>
      <c r="F10" s="61">
        <v>1</v>
      </c>
      <c r="G10" s="25" t="str">
        <f>IFERROR(VLOOKUP(C10,'🥬 식재료 DB'!$C$7:$H$121,6,0),"")</f>
        <v/>
      </c>
      <c r="H10" s="62" t="str">
        <f t="shared" ref="H10:H21" si="0">IFERROR(IF(AND(C10&lt;&gt;"",ISNUMBER(E10),ISNUMBER(F10),F10&gt;0,ISNUMBER(G10)),E10/F10*G10,""),"")</f>
        <v/>
      </c>
      <c r="I10" s="63"/>
      <c r="J10" s="63"/>
    </row>
    <row r="11" spans="2:11" ht="16.5" customHeight="1">
      <c r="B11" s="58">
        <v>2</v>
      </c>
      <c r="C11" s="140" t="s">
        <v>441</v>
      </c>
      <c r="D11" s="59" t="s">
        <v>292</v>
      </c>
      <c r="E11" s="141">
        <v>2</v>
      </c>
      <c r="F11" s="142">
        <v>1</v>
      </c>
      <c r="G11" s="25" t="str">
        <f>IFERROR(VLOOKUP(C11,'🥬 식재료 DB'!$C$7:$H$121,6,0),"")</f>
        <v/>
      </c>
      <c r="H11" s="62" t="str">
        <f t="shared" si="0"/>
        <v/>
      </c>
      <c r="I11" s="143"/>
      <c r="J11" s="143"/>
    </row>
    <row r="12" spans="2:11" ht="16.5" customHeight="1">
      <c r="B12" s="58">
        <v>3</v>
      </c>
      <c r="C12" s="6" t="s">
        <v>103</v>
      </c>
      <c r="D12" s="59" t="s">
        <v>292</v>
      </c>
      <c r="E12" s="60">
        <v>1</v>
      </c>
      <c r="F12" s="61">
        <v>1</v>
      </c>
      <c r="G12" s="25" t="str">
        <f>IFERROR(VLOOKUP(C12,'🥬 식재료 DB'!$C$7:$H$121,6,0),"")</f>
        <v/>
      </c>
      <c r="H12" s="62" t="str">
        <f t="shared" si="0"/>
        <v/>
      </c>
      <c r="I12" s="63"/>
      <c r="J12" s="63"/>
    </row>
    <row r="13" spans="2:11" ht="16.5" customHeight="1">
      <c r="B13" s="58">
        <v>4</v>
      </c>
      <c r="C13" s="68"/>
      <c r="D13" s="59" t="s">
        <v>292</v>
      </c>
      <c r="E13" s="69"/>
      <c r="F13" s="70"/>
      <c r="G13" s="25" t="str">
        <f>IFERROR(VLOOKUP(C13,'🥬 식재료 DB'!$C$7:$H$121,6,0),"")</f>
        <v/>
      </c>
      <c r="H13" s="62" t="str">
        <f t="shared" si="0"/>
        <v/>
      </c>
      <c r="I13" s="143"/>
      <c r="J13" s="143"/>
    </row>
    <row r="14" spans="2:11" ht="16.5" customHeight="1">
      <c r="B14" s="58">
        <v>5</v>
      </c>
      <c r="C14" s="68"/>
      <c r="D14" s="59" t="s">
        <v>292</v>
      </c>
      <c r="E14" s="69"/>
      <c r="F14" s="70"/>
      <c r="G14" s="25" t="str">
        <f>IFERROR(VLOOKUP(C14,'🥬 식재료 DB'!$C$7:$H$121,6,0),"")</f>
        <v/>
      </c>
      <c r="H14" s="62" t="str">
        <f t="shared" si="0"/>
        <v/>
      </c>
      <c r="I14" s="63"/>
      <c r="J14" s="63"/>
    </row>
    <row r="15" spans="2:11" ht="16.5" customHeight="1">
      <c r="B15" s="58">
        <v>6</v>
      </c>
      <c r="C15" s="68"/>
      <c r="D15" s="59" t="s">
        <v>292</v>
      </c>
      <c r="E15" s="69"/>
      <c r="F15" s="70"/>
      <c r="G15" s="25" t="str">
        <f>IFERROR(VLOOKUP(C15,'🥬 식재료 DB'!$C$7:$H$121,6,0),"")</f>
        <v/>
      </c>
      <c r="H15" s="62" t="str">
        <f t="shared" si="0"/>
        <v/>
      </c>
      <c r="I15" s="143"/>
      <c r="J15" s="143"/>
    </row>
    <row r="16" spans="2:11" ht="16.5" customHeight="1">
      <c r="B16" s="58">
        <v>7</v>
      </c>
      <c r="C16" s="68"/>
      <c r="D16" s="59" t="s">
        <v>292</v>
      </c>
      <c r="E16" s="69"/>
      <c r="F16" s="70"/>
      <c r="G16" s="25" t="str">
        <f>IFERROR(VLOOKUP(C16,'🥬 식재료 DB'!$C$7:$H$121,6,0),"")</f>
        <v/>
      </c>
      <c r="H16" s="62" t="str">
        <f t="shared" si="0"/>
        <v/>
      </c>
      <c r="I16" s="63"/>
      <c r="J16" s="63"/>
    </row>
    <row r="17" spans="2:11" ht="16.5" customHeight="1">
      <c r="B17" s="58">
        <v>8</v>
      </c>
      <c r="C17" s="68"/>
      <c r="D17" s="59" t="s">
        <v>292</v>
      </c>
      <c r="E17" s="69"/>
      <c r="F17" s="70"/>
      <c r="G17" s="25" t="str">
        <f>IFERROR(VLOOKUP(C17,'🥬 식재료 DB'!$C$7:$H$121,6,0),"")</f>
        <v/>
      </c>
      <c r="H17" s="62" t="str">
        <f t="shared" si="0"/>
        <v/>
      </c>
      <c r="I17" s="143"/>
      <c r="J17" s="143"/>
    </row>
    <row r="18" spans="2:11" ht="16.5" customHeight="1">
      <c r="B18" s="58">
        <v>9</v>
      </c>
      <c r="C18" s="68"/>
      <c r="D18" s="59" t="s">
        <v>292</v>
      </c>
      <c r="E18" s="69"/>
      <c r="F18" s="70"/>
      <c r="G18" s="25" t="str">
        <f>IFERROR(VLOOKUP(C18,'🥬 식재료 DB'!$C$7:$H$121,6,0),"")</f>
        <v/>
      </c>
      <c r="H18" s="62" t="str">
        <f t="shared" si="0"/>
        <v/>
      </c>
      <c r="I18" s="63"/>
      <c r="J18" s="63"/>
    </row>
    <row r="19" spans="2:11" ht="16.5" customHeight="1">
      <c r="B19" s="58">
        <v>10</v>
      </c>
      <c r="C19" s="68"/>
      <c r="D19" s="59" t="s">
        <v>292</v>
      </c>
      <c r="E19" s="69"/>
      <c r="F19" s="70"/>
      <c r="G19" s="25" t="str">
        <f>IFERROR(VLOOKUP(C19,'🥬 식재료 DB'!$C$7:$H$121,6,0),"")</f>
        <v/>
      </c>
      <c r="H19" s="62" t="str">
        <f t="shared" si="0"/>
        <v/>
      </c>
      <c r="I19" s="143"/>
      <c r="J19" s="143"/>
    </row>
    <row r="20" spans="2:11" ht="16.5" customHeight="1">
      <c r="B20" s="58">
        <v>11</v>
      </c>
      <c r="C20" s="68"/>
      <c r="D20" s="59" t="s">
        <v>292</v>
      </c>
      <c r="E20" s="69"/>
      <c r="F20" s="70"/>
      <c r="G20" s="25" t="str">
        <f>IFERROR(VLOOKUP(C20,'🥬 식재료 DB'!$C$7:$H$121,6,0),"")</f>
        <v/>
      </c>
      <c r="H20" s="62" t="str">
        <f t="shared" si="0"/>
        <v/>
      </c>
      <c r="I20" s="63"/>
      <c r="J20" s="63"/>
    </row>
    <row r="21" spans="2:11" ht="16.5" customHeight="1">
      <c r="B21" s="58">
        <v>12</v>
      </c>
      <c r="C21" s="68"/>
      <c r="D21" s="59" t="s">
        <v>292</v>
      </c>
      <c r="E21" s="69"/>
      <c r="F21" s="70"/>
      <c r="G21" s="25" t="str">
        <f>IFERROR(VLOOKUP(C21,'🥬 식재료 DB'!$C$7:$H$121,6,0),"")</f>
        <v/>
      </c>
      <c r="H21" s="62" t="str">
        <f t="shared" si="0"/>
        <v/>
      </c>
      <c r="I21" s="143"/>
      <c r="J21" s="143"/>
    </row>
    <row r="22" spans="2:11" ht="12.75" customHeight="1">
      <c r="B22" s="203" t="s">
        <v>293</v>
      </c>
      <c r="C22" s="203"/>
      <c r="D22" s="203"/>
      <c r="E22" s="203"/>
      <c r="F22" s="203"/>
      <c r="G22" s="203"/>
      <c r="H22" s="203"/>
      <c r="I22" s="203"/>
      <c r="J22" s="203"/>
      <c r="K22" s="203"/>
    </row>
    <row r="23" spans="2:11" ht="16.5" customHeight="1">
      <c r="B23" s="71">
        <v>13</v>
      </c>
      <c r="C23" s="6" t="s">
        <v>442</v>
      </c>
      <c r="D23" s="72" t="s">
        <v>295</v>
      </c>
      <c r="E23" s="60">
        <v>1</v>
      </c>
      <c r="F23" s="61">
        <v>1</v>
      </c>
      <c r="G23" s="73" t="str">
        <f>IFERROR(VLOOKUP(C23,'🧪 프렙 원가표'!$C$8:$D$18,2,0),IFERROR(VLOOKUP(C23,'🥬 식재료 DB'!$C$7:$H$121,6,0),""))</f>
        <v/>
      </c>
      <c r="H23" s="74" t="str">
        <f>IFERROR(IF(AND(C23&lt;&gt;"",ISNUMBER(E23),ISNUMBER(F23),F23&gt;0,ISNUMBER(G23)),E23/F23*G23,""),"")</f>
        <v/>
      </c>
      <c r="I23" s="63"/>
      <c r="J23" s="63"/>
    </row>
    <row r="24" spans="2:11" ht="16.5" customHeight="1">
      <c r="B24" s="71">
        <v>14</v>
      </c>
      <c r="C24" s="12" t="s">
        <v>443</v>
      </c>
      <c r="D24" s="72" t="s">
        <v>295</v>
      </c>
      <c r="E24" s="75">
        <v>1</v>
      </c>
      <c r="F24" s="76">
        <v>1</v>
      </c>
      <c r="G24" s="73" t="str">
        <f>IFERROR(VLOOKUP(C24,'🧪 프렙 원가표'!$C$8:$D$18,2,0),IFERROR(VLOOKUP(C24,'🥬 식재료 DB'!$C$7:$H$121,6,0),""))</f>
        <v/>
      </c>
      <c r="H24" s="74" t="str">
        <f>IFERROR(IF(AND(C24&lt;&gt;"",ISNUMBER(E24),ISNUMBER(F24),F24&gt;0,ISNUMBER(G24)),E24/F24*G24,""),"")</f>
        <v/>
      </c>
      <c r="I24" s="77"/>
      <c r="J24" s="77"/>
    </row>
    <row r="25" spans="2:11" ht="16.5" customHeight="1">
      <c r="B25" s="71">
        <v>15</v>
      </c>
      <c r="C25" s="6" t="s">
        <v>444</v>
      </c>
      <c r="D25" s="72" t="s">
        <v>295</v>
      </c>
      <c r="E25" s="60">
        <v>1</v>
      </c>
      <c r="F25" s="61">
        <v>1</v>
      </c>
      <c r="G25" s="73" t="str">
        <f>IFERROR(VLOOKUP(C25,'🧪 프렙 원가표'!$C$8:$D$18,2,0),IFERROR(VLOOKUP(C25,'🥬 식재료 DB'!$C$7:$H$121,6,0),""))</f>
        <v/>
      </c>
      <c r="H25" s="74" t="str">
        <f>IFERROR(IF(AND(C25&lt;&gt;"",ISNUMBER(E25),ISNUMBER(F25),F25&gt;0,ISNUMBER(G25)),E25/F25*G25,""),"")</f>
        <v/>
      </c>
      <c r="I25" s="63"/>
      <c r="J25" s="63"/>
    </row>
    <row r="26" spans="2:11" ht="16.5" customHeight="1">
      <c r="B26" s="71">
        <v>16</v>
      </c>
      <c r="C26" s="68"/>
      <c r="D26" s="72" t="s">
        <v>295</v>
      </c>
      <c r="E26" s="69"/>
      <c r="F26" s="70"/>
      <c r="G26" s="73" t="str">
        <f>IFERROR(VLOOKUP(C26,'🧪 프렙 원가표'!$C$8:$D$18,2,0),IFERROR(VLOOKUP(C26,'🥬 식재료 DB'!$C$7:$H$121,6,0),""))</f>
        <v/>
      </c>
      <c r="H26" s="74" t="str">
        <f>IFERROR(IF(AND(C26&lt;&gt;"",ISNUMBER(E26),ISNUMBER(F26),F26&gt;0,ISNUMBER(G26)),E26/F26*G26,""),"")</f>
        <v/>
      </c>
      <c r="I26" s="77"/>
      <c r="J26" s="77"/>
    </row>
    <row r="27" spans="2:11" ht="16.5" customHeight="1">
      <c r="B27" s="71">
        <v>17</v>
      </c>
      <c r="C27" s="68"/>
      <c r="D27" s="72" t="s">
        <v>295</v>
      </c>
      <c r="E27" s="69"/>
      <c r="F27" s="70"/>
      <c r="G27" s="73" t="str">
        <f>IFERROR(VLOOKUP(C27,'🧪 프렙 원가표'!$C$8:$D$18,2,0),IFERROR(VLOOKUP(C27,'🥬 식재료 DB'!$C$7:$H$121,6,0),""))</f>
        <v/>
      </c>
      <c r="H27" s="74" t="str">
        <f>IFERROR(IF(AND(C27&lt;&gt;"",ISNUMBER(E27),ISNUMBER(F27),F27&gt;0,ISNUMBER(G27)),E27/F27*G27,""),"")</f>
        <v/>
      </c>
      <c r="I27" s="63"/>
      <c r="J27" s="63"/>
    </row>
    <row r="28" spans="2:11" ht="3.75" customHeight="1"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 spans="2:11" ht="27" customHeight="1">
      <c r="B29" s="50"/>
      <c r="C29" s="139" t="s">
        <v>445</v>
      </c>
      <c r="D29" s="50"/>
      <c r="E29" s="52">
        <v>57000</v>
      </c>
      <c r="F29" s="53">
        <f>IFERROR(SUM(H31,H32,H33,H34,H35,H36,H37,H38,H39,H40,H41,H42,H44,H45,H46,H47,H48),0)</f>
        <v>0</v>
      </c>
      <c r="G29" s="54">
        <f>IFERROR(E29*'💰 고정비용 DB'!$D$22/'💰 고정비용 DB'!$D$25,0)</f>
        <v>37636.932760864642</v>
      </c>
      <c r="H29" s="55">
        <f>IFERROR(F29+G29,"")</f>
        <v>37636.932760864642</v>
      </c>
      <c r="I29" s="56">
        <f>IFERROR(H29/E29,"")</f>
        <v>0.66029706598008142</v>
      </c>
      <c r="J29" s="57" t="str">
        <f>IF(I29="","⬜ 미입력",IF(I29&lt;=0.2,"✅ 양호",IF(I29&lt;=0.32,"🟡 주의","🔴 과다")))</f>
        <v>🔴 과다</v>
      </c>
      <c r="K29" s="50"/>
    </row>
    <row r="30" spans="2:11" ht="12.75" customHeight="1">
      <c r="B30" s="204" t="s">
        <v>291</v>
      </c>
      <c r="C30" s="204"/>
      <c r="D30" s="204"/>
      <c r="E30" s="204"/>
      <c r="F30" s="204"/>
      <c r="G30" s="204"/>
      <c r="H30" s="204"/>
      <c r="I30" s="204"/>
      <c r="J30" s="204"/>
      <c r="K30" s="204"/>
    </row>
    <row r="31" spans="2:11" ht="16.5" customHeight="1">
      <c r="B31" s="58">
        <v>1</v>
      </c>
      <c r="C31" s="6" t="s">
        <v>446</v>
      </c>
      <c r="D31" s="59" t="s">
        <v>292</v>
      </c>
      <c r="E31" s="60">
        <v>1</v>
      </c>
      <c r="F31" s="61">
        <v>1</v>
      </c>
      <c r="G31" s="25" t="str">
        <f>IFERROR(VLOOKUP(C31,'🥬 식재료 DB'!$C$7:$H$121,6,0),"")</f>
        <v/>
      </c>
      <c r="H31" s="62" t="str">
        <f t="shared" ref="H31:H42" si="1">IFERROR(IF(AND(C31&lt;&gt;"",ISNUMBER(E31),ISNUMBER(F31),F31&gt;0,ISNUMBER(G31)),E31/F31*G31,""),"")</f>
        <v/>
      </c>
      <c r="I31" s="63"/>
      <c r="J31" s="63"/>
    </row>
    <row r="32" spans="2:11" ht="16.5" customHeight="1">
      <c r="B32" s="58">
        <v>2</v>
      </c>
      <c r="C32" s="140" t="s">
        <v>440</v>
      </c>
      <c r="D32" s="59" t="s">
        <v>292</v>
      </c>
      <c r="E32" s="141">
        <v>3</v>
      </c>
      <c r="F32" s="142">
        <v>1</v>
      </c>
      <c r="G32" s="25" t="str">
        <f>IFERROR(VLOOKUP(C32,'🥬 식재료 DB'!$C$7:$H$121,6,0),"")</f>
        <v/>
      </c>
      <c r="H32" s="62" t="str">
        <f t="shared" si="1"/>
        <v/>
      </c>
      <c r="I32" s="143"/>
      <c r="J32" s="143"/>
    </row>
    <row r="33" spans="2:11" ht="16.5" customHeight="1">
      <c r="B33" s="58">
        <v>3</v>
      </c>
      <c r="C33" s="6" t="s">
        <v>447</v>
      </c>
      <c r="D33" s="59" t="s">
        <v>292</v>
      </c>
      <c r="E33" s="60">
        <v>3</v>
      </c>
      <c r="F33" s="61">
        <v>1</v>
      </c>
      <c r="G33" s="25" t="str">
        <f>IFERROR(VLOOKUP(C33,'🥬 식재료 DB'!$C$7:$H$121,6,0),"")</f>
        <v/>
      </c>
      <c r="H33" s="62" t="str">
        <f t="shared" si="1"/>
        <v/>
      </c>
      <c r="I33" s="63"/>
      <c r="J33" s="63"/>
    </row>
    <row r="34" spans="2:11" ht="16.5" customHeight="1">
      <c r="B34" s="58">
        <v>4</v>
      </c>
      <c r="C34" s="68"/>
      <c r="D34" s="59" t="s">
        <v>292</v>
      </c>
      <c r="E34" s="69"/>
      <c r="F34" s="70"/>
      <c r="G34" s="25" t="str">
        <f>IFERROR(VLOOKUP(C34,'🥬 식재료 DB'!$C$7:$H$121,6,0),"")</f>
        <v/>
      </c>
      <c r="H34" s="62" t="str">
        <f t="shared" si="1"/>
        <v/>
      </c>
      <c r="I34" s="143"/>
      <c r="J34" s="143"/>
    </row>
    <row r="35" spans="2:11" ht="16.5" customHeight="1">
      <c r="B35" s="58">
        <v>5</v>
      </c>
      <c r="C35" s="68"/>
      <c r="D35" s="59" t="s">
        <v>292</v>
      </c>
      <c r="E35" s="69"/>
      <c r="F35" s="70"/>
      <c r="G35" s="25" t="str">
        <f>IFERROR(VLOOKUP(C35,'🥬 식재료 DB'!$C$7:$H$121,6,0),"")</f>
        <v/>
      </c>
      <c r="H35" s="62" t="str">
        <f t="shared" si="1"/>
        <v/>
      </c>
      <c r="I35" s="63"/>
      <c r="J35" s="63"/>
    </row>
    <row r="36" spans="2:11" ht="16.5" customHeight="1">
      <c r="B36" s="58">
        <v>6</v>
      </c>
      <c r="C36" s="68"/>
      <c r="D36" s="59" t="s">
        <v>292</v>
      </c>
      <c r="E36" s="69"/>
      <c r="F36" s="70"/>
      <c r="G36" s="25" t="str">
        <f>IFERROR(VLOOKUP(C36,'🥬 식재료 DB'!$C$7:$H$121,6,0),"")</f>
        <v/>
      </c>
      <c r="H36" s="62" t="str">
        <f t="shared" si="1"/>
        <v/>
      </c>
      <c r="I36" s="143"/>
      <c r="J36" s="143"/>
    </row>
    <row r="37" spans="2:11" ht="16.5" customHeight="1">
      <c r="B37" s="58">
        <v>7</v>
      </c>
      <c r="C37" s="68"/>
      <c r="D37" s="59" t="s">
        <v>292</v>
      </c>
      <c r="E37" s="69"/>
      <c r="F37" s="70"/>
      <c r="G37" s="25" t="str">
        <f>IFERROR(VLOOKUP(C37,'🥬 식재료 DB'!$C$7:$H$121,6,0),"")</f>
        <v/>
      </c>
      <c r="H37" s="62" t="str">
        <f t="shared" si="1"/>
        <v/>
      </c>
      <c r="I37" s="63"/>
      <c r="J37" s="63"/>
    </row>
    <row r="38" spans="2:11" ht="16.5" customHeight="1">
      <c r="B38" s="58">
        <v>8</v>
      </c>
      <c r="C38" s="68"/>
      <c r="D38" s="59" t="s">
        <v>292</v>
      </c>
      <c r="E38" s="69"/>
      <c r="F38" s="70"/>
      <c r="G38" s="25" t="str">
        <f>IFERROR(VLOOKUP(C38,'🥬 식재료 DB'!$C$7:$H$121,6,0),"")</f>
        <v/>
      </c>
      <c r="H38" s="62" t="str">
        <f t="shared" si="1"/>
        <v/>
      </c>
      <c r="I38" s="143"/>
      <c r="J38" s="143"/>
    </row>
    <row r="39" spans="2:11" ht="16.5" customHeight="1">
      <c r="B39" s="58">
        <v>9</v>
      </c>
      <c r="C39" s="68"/>
      <c r="D39" s="59" t="s">
        <v>292</v>
      </c>
      <c r="E39" s="69"/>
      <c r="F39" s="70"/>
      <c r="G39" s="25" t="str">
        <f>IFERROR(VLOOKUP(C39,'🥬 식재료 DB'!$C$7:$H$121,6,0),"")</f>
        <v/>
      </c>
      <c r="H39" s="62" t="str">
        <f t="shared" si="1"/>
        <v/>
      </c>
      <c r="I39" s="63"/>
      <c r="J39" s="63"/>
    </row>
    <row r="40" spans="2:11" ht="16.5" customHeight="1">
      <c r="B40" s="58">
        <v>10</v>
      </c>
      <c r="C40" s="68"/>
      <c r="D40" s="59" t="s">
        <v>292</v>
      </c>
      <c r="E40" s="69"/>
      <c r="F40" s="70"/>
      <c r="G40" s="25" t="str">
        <f>IFERROR(VLOOKUP(C40,'🥬 식재료 DB'!$C$7:$H$121,6,0),"")</f>
        <v/>
      </c>
      <c r="H40" s="62" t="str">
        <f t="shared" si="1"/>
        <v/>
      </c>
      <c r="I40" s="143"/>
      <c r="J40" s="143"/>
    </row>
    <row r="41" spans="2:11" ht="16.5" customHeight="1">
      <c r="B41" s="58">
        <v>11</v>
      </c>
      <c r="C41" s="68"/>
      <c r="D41" s="59" t="s">
        <v>292</v>
      </c>
      <c r="E41" s="69"/>
      <c r="F41" s="70"/>
      <c r="G41" s="25" t="str">
        <f>IFERROR(VLOOKUP(C41,'🥬 식재료 DB'!$C$7:$H$121,6,0),"")</f>
        <v/>
      </c>
      <c r="H41" s="62" t="str">
        <f t="shared" si="1"/>
        <v/>
      </c>
      <c r="I41" s="63"/>
      <c r="J41" s="63"/>
    </row>
    <row r="42" spans="2:11" ht="16.5" customHeight="1">
      <c r="B42" s="58">
        <v>12</v>
      </c>
      <c r="C42" s="68"/>
      <c r="D42" s="59" t="s">
        <v>292</v>
      </c>
      <c r="E42" s="69"/>
      <c r="F42" s="70"/>
      <c r="G42" s="25" t="str">
        <f>IFERROR(VLOOKUP(C42,'🥬 식재료 DB'!$C$7:$H$121,6,0),"")</f>
        <v/>
      </c>
      <c r="H42" s="62" t="str">
        <f t="shared" si="1"/>
        <v/>
      </c>
      <c r="I42" s="143"/>
      <c r="J42" s="143"/>
    </row>
    <row r="43" spans="2:11" ht="12.75" customHeight="1">
      <c r="B43" s="203" t="s">
        <v>293</v>
      </c>
      <c r="C43" s="203"/>
      <c r="D43" s="203"/>
      <c r="E43" s="203"/>
      <c r="F43" s="203"/>
      <c r="G43" s="203"/>
      <c r="H43" s="203"/>
      <c r="I43" s="203"/>
      <c r="J43" s="203"/>
      <c r="K43" s="203"/>
    </row>
    <row r="44" spans="2:11" ht="16.5" customHeight="1">
      <c r="B44" s="71">
        <v>13</v>
      </c>
      <c r="C44" s="6" t="s">
        <v>448</v>
      </c>
      <c r="D44" s="72" t="s">
        <v>295</v>
      </c>
      <c r="E44" s="60">
        <v>2</v>
      </c>
      <c r="F44" s="61">
        <v>1</v>
      </c>
      <c r="G44" s="73" t="str">
        <f>IFERROR(VLOOKUP(C44,'🧪 프렙 원가표'!$C$8:$D$18,2,0),IFERROR(VLOOKUP(C44,'🥬 식재료 DB'!$C$7:$H$121,6,0),""))</f>
        <v/>
      </c>
      <c r="H44" s="74" t="str">
        <f>IFERROR(IF(AND(C44&lt;&gt;"",ISNUMBER(E44),ISNUMBER(F44),F44&gt;0,ISNUMBER(G44)),E44/F44*G44,""),"")</f>
        <v/>
      </c>
      <c r="I44" s="63"/>
      <c r="J44" s="63"/>
    </row>
    <row r="45" spans="2:11" ht="16.5" customHeight="1">
      <c r="B45" s="71">
        <v>14</v>
      </c>
      <c r="C45" s="12" t="s">
        <v>449</v>
      </c>
      <c r="D45" s="72" t="s">
        <v>295</v>
      </c>
      <c r="E45" s="75">
        <v>1</v>
      </c>
      <c r="F45" s="76">
        <v>1</v>
      </c>
      <c r="G45" s="73" t="str">
        <f>IFERROR(VLOOKUP(C45,'🧪 프렙 원가표'!$C$8:$D$18,2,0),IFERROR(VLOOKUP(C45,'🥬 식재료 DB'!$C$7:$H$121,6,0),""))</f>
        <v/>
      </c>
      <c r="H45" s="74" t="str">
        <f>IFERROR(IF(AND(C45&lt;&gt;"",ISNUMBER(E45),ISNUMBER(F45),F45&gt;0,ISNUMBER(G45)),E45/F45*G45,""),"")</f>
        <v/>
      </c>
      <c r="I45" s="77"/>
      <c r="J45" s="77"/>
    </row>
    <row r="46" spans="2:11" ht="16.5" customHeight="1">
      <c r="B46" s="71">
        <v>15</v>
      </c>
      <c r="C46" s="6" t="s">
        <v>109</v>
      </c>
      <c r="D46" s="72" t="s">
        <v>295</v>
      </c>
      <c r="E46" s="60">
        <v>1</v>
      </c>
      <c r="F46" s="61">
        <v>1</v>
      </c>
      <c r="G46" s="73" t="str">
        <f>IFERROR(VLOOKUP(C46,'🧪 프렙 원가표'!$C$8:$D$18,2,0),IFERROR(VLOOKUP(C46,'🥬 식재료 DB'!$C$7:$H$121,6,0),""))</f>
        <v/>
      </c>
      <c r="H46" s="74" t="str">
        <f>IFERROR(IF(AND(C46&lt;&gt;"",ISNUMBER(E46),ISNUMBER(F46),F46&gt;0,ISNUMBER(G46)),E46/F46*G46,""),"")</f>
        <v/>
      </c>
      <c r="I46" s="63"/>
      <c r="J46" s="63"/>
    </row>
    <row r="47" spans="2:11" ht="16.5" customHeight="1">
      <c r="B47" s="71">
        <v>16</v>
      </c>
      <c r="C47" s="68"/>
      <c r="D47" s="72" t="s">
        <v>295</v>
      </c>
      <c r="E47" s="69"/>
      <c r="F47" s="70"/>
      <c r="G47" s="73" t="str">
        <f>IFERROR(VLOOKUP(C47,'🧪 프렙 원가표'!$C$8:$D$18,2,0),IFERROR(VLOOKUP(C47,'🥬 식재료 DB'!$C$7:$H$121,6,0),""))</f>
        <v/>
      </c>
      <c r="H47" s="74" t="str">
        <f>IFERROR(IF(AND(C47&lt;&gt;"",ISNUMBER(E47),ISNUMBER(F47),F47&gt;0,ISNUMBER(G47)),E47/F47*G47,""),"")</f>
        <v/>
      </c>
      <c r="I47" s="77"/>
      <c r="J47" s="77"/>
    </row>
    <row r="48" spans="2:11" ht="16.5" customHeight="1">
      <c r="B48" s="71">
        <v>17</v>
      </c>
      <c r="C48" s="68"/>
      <c r="D48" s="72" t="s">
        <v>295</v>
      </c>
      <c r="E48" s="69"/>
      <c r="F48" s="70"/>
      <c r="G48" s="73" t="str">
        <f>IFERROR(VLOOKUP(C48,'🧪 프렙 원가표'!$C$8:$D$18,2,0),IFERROR(VLOOKUP(C48,'🥬 식재료 DB'!$C$7:$H$121,6,0),""))</f>
        <v/>
      </c>
      <c r="H48" s="74" t="str">
        <f>IFERROR(IF(AND(C48&lt;&gt;"",ISNUMBER(E48),ISNUMBER(F48),F48&gt;0,ISNUMBER(G48)),E48/F48*G48,""),"")</f>
        <v/>
      </c>
      <c r="I48" s="63"/>
      <c r="J48" s="63"/>
    </row>
    <row r="49" spans="2:11" ht="3.75" customHeight="1">
      <c r="B49" s="78"/>
      <c r="C49" s="78"/>
      <c r="D49" s="78"/>
      <c r="E49" s="78"/>
      <c r="F49" s="78"/>
      <c r="G49" s="78"/>
      <c r="H49" s="78"/>
      <c r="I49" s="78"/>
      <c r="J49" s="78"/>
      <c r="K49" s="78"/>
    </row>
    <row r="50" spans="2:11" ht="27" customHeight="1">
      <c r="B50" s="50"/>
      <c r="C50" s="139" t="s">
        <v>450</v>
      </c>
      <c r="D50" s="50"/>
      <c r="E50" s="52">
        <v>71000</v>
      </c>
      <c r="F50" s="53">
        <f>IFERROR(SUM(H52,H53,H54,H55,H56,H57,H58,H59,H60,H61,H62,H63,H65,H66,H67,H68,H69),0)</f>
        <v>0</v>
      </c>
      <c r="G50" s="54">
        <f>IFERROR(E50*'💰 고정비용 DB'!$D$22/'💰 고정비용 DB'!$D$25,0)</f>
        <v>46881.091684585786</v>
      </c>
      <c r="H50" s="55">
        <f>IFERROR(F50+G50,"")</f>
        <v>46881.091684585786</v>
      </c>
      <c r="I50" s="56">
        <f>IFERROR(H50/E50,"")</f>
        <v>0.66029706598008153</v>
      </c>
      <c r="J50" s="57" t="str">
        <f>IF(I50="","⬜ 미입력",IF(I50&lt;=0.2,"✅ 양호",IF(I50&lt;=0.32,"🟡 주의","🔴 과다")))</f>
        <v>🔴 과다</v>
      </c>
      <c r="K50" s="50"/>
    </row>
    <row r="51" spans="2:11" ht="12.75" customHeight="1">
      <c r="B51" s="204" t="s">
        <v>291</v>
      </c>
      <c r="C51" s="204"/>
      <c r="D51" s="204"/>
      <c r="E51" s="204"/>
      <c r="F51" s="204"/>
      <c r="G51" s="204"/>
      <c r="H51" s="204"/>
      <c r="I51" s="204"/>
      <c r="J51" s="204"/>
      <c r="K51" s="204"/>
    </row>
    <row r="52" spans="2:11" ht="16.5" customHeight="1">
      <c r="B52" s="58">
        <v>1</v>
      </c>
      <c r="C52" s="6" t="s">
        <v>451</v>
      </c>
      <c r="D52" s="59" t="s">
        <v>292</v>
      </c>
      <c r="E52" s="60">
        <v>3</v>
      </c>
      <c r="F52" s="61">
        <v>1</v>
      </c>
      <c r="G52" s="25" t="str">
        <f>IFERROR(VLOOKUP(C52,'🥬 식재료 DB'!$C$7:$H$121,6,0),"")</f>
        <v/>
      </c>
      <c r="H52" s="62" t="str">
        <f t="shared" ref="H52:H63" si="2">IFERROR(IF(AND(C52&lt;&gt;"",ISNUMBER(E52),ISNUMBER(F52),F52&gt;0,ISNUMBER(G52)),E52/F52*G52,""),"")</f>
        <v/>
      </c>
      <c r="I52" s="63"/>
      <c r="J52" s="63"/>
    </row>
    <row r="53" spans="2:11" ht="16.5" customHeight="1">
      <c r="B53" s="58">
        <v>2</v>
      </c>
      <c r="C53" s="140" t="s">
        <v>447</v>
      </c>
      <c r="D53" s="59" t="s">
        <v>292</v>
      </c>
      <c r="E53" s="141">
        <v>3</v>
      </c>
      <c r="F53" s="142">
        <v>1</v>
      </c>
      <c r="G53" s="25" t="str">
        <f>IFERROR(VLOOKUP(C53,'🥬 식재료 DB'!$C$7:$H$121,6,0),"")</f>
        <v/>
      </c>
      <c r="H53" s="62" t="str">
        <f t="shared" si="2"/>
        <v/>
      </c>
      <c r="I53" s="143"/>
      <c r="J53" s="143"/>
    </row>
    <row r="54" spans="2:11" ht="16.5" customHeight="1">
      <c r="B54" s="58">
        <v>3</v>
      </c>
      <c r="C54" s="6" t="s">
        <v>452</v>
      </c>
      <c r="D54" s="59" t="s">
        <v>292</v>
      </c>
      <c r="E54" s="60">
        <v>1</v>
      </c>
      <c r="F54" s="61">
        <v>1</v>
      </c>
      <c r="G54" s="25" t="str">
        <f>IFERROR(VLOOKUP(C54,'🥬 식재료 DB'!$C$7:$H$121,6,0),"")</f>
        <v/>
      </c>
      <c r="H54" s="62" t="str">
        <f t="shared" si="2"/>
        <v/>
      </c>
      <c r="I54" s="63"/>
      <c r="J54" s="63"/>
    </row>
    <row r="55" spans="2:11" ht="16.5" customHeight="1">
      <c r="B55" s="58">
        <v>4</v>
      </c>
      <c r="C55" s="68"/>
      <c r="D55" s="59" t="s">
        <v>292</v>
      </c>
      <c r="E55" s="69"/>
      <c r="F55" s="70"/>
      <c r="G55" s="25" t="str">
        <f>IFERROR(VLOOKUP(C55,'🥬 식재료 DB'!$C$7:$H$121,6,0),"")</f>
        <v/>
      </c>
      <c r="H55" s="62" t="str">
        <f t="shared" si="2"/>
        <v/>
      </c>
      <c r="I55" s="143"/>
      <c r="J55" s="143"/>
    </row>
    <row r="56" spans="2:11" ht="16.5" customHeight="1">
      <c r="B56" s="58">
        <v>5</v>
      </c>
      <c r="C56" s="68"/>
      <c r="D56" s="59" t="s">
        <v>292</v>
      </c>
      <c r="E56" s="69"/>
      <c r="F56" s="70"/>
      <c r="G56" s="25" t="str">
        <f>IFERROR(VLOOKUP(C56,'🥬 식재료 DB'!$C$7:$H$121,6,0),"")</f>
        <v/>
      </c>
      <c r="H56" s="62" t="str">
        <f t="shared" si="2"/>
        <v/>
      </c>
      <c r="I56" s="63"/>
      <c r="J56" s="63"/>
    </row>
    <row r="57" spans="2:11" ht="16.5" customHeight="1">
      <c r="B57" s="58">
        <v>6</v>
      </c>
      <c r="C57" s="68"/>
      <c r="D57" s="59" t="s">
        <v>292</v>
      </c>
      <c r="E57" s="69"/>
      <c r="F57" s="70"/>
      <c r="G57" s="25" t="str">
        <f>IFERROR(VLOOKUP(C57,'🥬 식재료 DB'!$C$7:$H$121,6,0),"")</f>
        <v/>
      </c>
      <c r="H57" s="62" t="str">
        <f t="shared" si="2"/>
        <v/>
      </c>
      <c r="I57" s="143"/>
      <c r="J57" s="143"/>
    </row>
    <row r="58" spans="2:11" ht="16.5" customHeight="1">
      <c r="B58" s="58">
        <v>7</v>
      </c>
      <c r="C58" s="68"/>
      <c r="D58" s="59" t="s">
        <v>292</v>
      </c>
      <c r="E58" s="69"/>
      <c r="F58" s="70"/>
      <c r="G58" s="25" t="str">
        <f>IFERROR(VLOOKUP(C58,'🥬 식재료 DB'!$C$7:$H$121,6,0),"")</f>
        <v/>
      </c>
      <c r="H58" s="62" t="str">
        <f t="shared" si="2"/>
        <v/>
      </c>
      <c r="I58" s="63"/>
      <c r="J58" s="63"/>
    </row>
    <row r="59" spans="2:11" ht="16.5" customHeight="1">
      <c r="B59" s="58">
        <v>8</v>
      </c>
      <c r="C59" s="68"/>
      <c r="D59" s="59" t="s">
        <v>292</v>
      </c>
      <c r="E59" s="69"/>
      <c r="F59" s="70"/>
      <c r="G59" s="25" t="str">
        <f>IFERROR(VLOOKUP(C59,'🥬 식재료 DB'!$C$7:$H$121,6,0),"")</f>
        <v/>
      </c>
      <c r="H59" s="62" t="str">
        <f t="shared" si="2"/>
        <v/>
      </c>
      <c r="I59" s="143"/>
      <c r="J59" s="143"/>
    </row>
    <row r="60" spans="2:11" ht="16.5" customHeight="1">
      <c r="B60" s="58">
        <v>9</v>
      </c>
      <c r="C60" s="68"/>
      <c r="D60" s="59" t="s">
        <v>292</v>
      </c>
      <c r="E60" s="69"/>
      <c r="F60" s="70"/>
      <c r="G60" s="25" t="str">
        <f>IFERROR(VLOOKUP(C60,'🥬 식재료 DB'!$C$7:$H$121,6,0),"")</f>
        <v/>
      </c>
      <c r="H60" s="62" t="str">
        <f t="shared" si="2"/>
        <v/>
      </c>
      <c r="I60" s="63"/>
      <c r="J60" s="63"/>
    </row>
    <row r="61" spans="2:11" ht="16.5" customHeight="1">
      <c r="B61" s="58">
        <v>10</v>
      </c>
      <c r="C61" s="68"/>
      <c r="D61" s="59" t="s">
        <v>292</v>
      </c>
      <c r="E61" s="69"/>
      <c r="F61" s="70"/>
      <c r="G61" s="25" t="str">
        <f>IFERROR(VLOOKUP(C61,'🥬 식재료 DB'!$C$7:$H$121,6,0),"")</f>
        <v/>
      </c>
      <c r="H61" s="62" t="str">
        <f t="shared" si="2"/>
        <v/>
      </c>
      <c r="I61" s="143"/>
      <c r="J61" s="143"/>
    </row>
    <row r="62" spans="2:11" ht="16.5" customHeight="1">
      <c r="B62" s="58">
        <v>11</v>
      </c>
      <c r="C62" s="68"/>
      <c r="D62" s="59" t="s">
        <v>292</v>
      </c>
      <c r="E62" s="69"/>
      <c r="F62" s="70"/>
      <c r="G62" s="25" t="str">
        <f>IFERROR(VLOOKUP(C62,'🥬 식재료 DB'!$C$7:$H$121,6,0),"")</f>
        <v/>
      </c>
      <c r="H62" s="62" t="str">
        <f t="shared" si="2"/>
        <v/>
      </c>
      <c r="I62" s="63"/>
      <c r="J62" s="63"/>
    </row>
    <row r="63" spans="2:11" ht="16.5" customHeight="1">
      <c r="B63" s="58">
        <v>12</v>
      </c>
      <c r="C63" s="68"/>
      <c r="D63" s="59" t="s">
        <v>292</v>
      </c>
      <c r="E63" s="69"/>
      <c r="F63" s="70"/>
      <c r="G63" s="25" t="str">
        <f>IFERROR(VLOOKUP(C63,'🥬 식재료 DB'!$C$7:$H$121,6,0),"")</f>
        <v/>
      </c>
      <c r="H63" s="62" t="str">
        <f t="shared" si="2"/>
        <v/>
      </c>
      <c r="I63" s="143"/>
      <c r="J63" s="143"/>
    </row>
    <row r="64" spans="2:11" ht="12.75" customHeight="1">
      <c r="B64" s="203" t="s">
        <v>293</v>
      </c>
      <c r="C64" s="203"/>
      <c r="D64" s="203"/>
      <c r="E64" s="203"/>
      <c r="F64" s="203"/>
      <c r="G64" s="203"/>
      <c r="H64" s="203"/>
      <c r="I64" s="203"/>
      <c r="J64" s="203"/>
      <c r="K64" s="203"/>
    </row>
    <row r="65" spans="2:11" ht="16.5" customHeight="1">
      <c r="B65" s="71">
        <v>13</v>
      </c>
      <c r="C65" s="6" t="s">
        <v>448</v>
      </c>
      <c r="D65" s="72" t="s">
        <v>295</v>
      </c>
      <c r="E65" s="60">
        <v>3</v>
      </c>
      <c r="F65" s="61">
        <v>1</v>
      </c>
      <c r="G65" s="73" t="str">
        <f>IFERROR(VLOOKUP(C65,'🧪 프렙 원가표'!$C$8:$D$18,2,0),IFERROR(VLOOKUP(C65,'🥬 식재료 DB'!$C$7:$H$121,6,0),""))</f>
        <v/>
      </c>
      <c r="H65" s="74" t="str">
        <f>IFERROR(IF(AND(C65&lt;&gt;"",ISNUMBER(E65),ISNUMBER(F65),F65&gt;0,ISNUMBER(G65)),E65/F65*G65,""),"")</f>
        <v/>
      </c>
      <c r="I65" s="63"/>
      <c r="J65" s="63"/>
    </row>
    <row r="66" spans="2:11" ht="16.5" customHeight="1">
      <c r="B66" s="71">
        <v>14</v>
      </c>
      <c r="C66" s="12" t="s">
        <v>453</v>
      </c>
      <c r="D66" s="72" t="s">
        <v>295</v>
      </c>
      <c r="E66" s="75">
        <v>1</v>
      </c>
      <c r="F66" s="76">
        <v>1</v>
      </c>
      <c r="G66" s="73" t="str">
        <f>IFERROR(VLOOKUP(C66,'🧪 프렙 원가표'!$C$8:$D$18,2,0),IFERROR(VLOOKUP(C66,'🥬 식재료 DB'!$C$7:$H$121,6,0),""))</f>
        <v/>
      </c>
      <c r="H66" s="74" t="str">
        <f>IFERROR(IF(AND(C66&lt;&gt;"",ISNUMBER(E66),ISNUMBER(F66),F66&gt;0,ISNUMBER(G66)),E66/F66*G66,""),"")</f>
        <v/>
      </c>
      <c r="I66" s="77"/>
      <c r="J66" s="77"/>
    </row>
    <row r="67" spans="2:11" ht="16.5" customHeight="1">
      <c r="B67" s="71">
        <v>15</v>
      </c>
      <c r="C67" s="6" t="s">
        <v>449</v>
      </c>
      <c r="D67" s="72" t="s">
        <v>295</v>
      </c>
      <c r="E67" s="60">
        <v>1</v>
      </c>
      <c r="F67" s="61">
        <v>1</v>
      </c>
      <c r="G67" s="73" t="str">
        <f>IFERROR(VLOOKUP(C67,'🧪 프렙 원가표'!$C$8:$D$18,2,0),IFERROR(VLOOKUP(C67,'🥬 식재료 DB'!$C$7:$H$121,6,0),""))</f>
        <v/>
      </c>
      <c r="H67" s="74" t="str">
        <f>IFERROR(IF(AND(C67&lt;&gt;"",ISNUMBER(E67),ISNUMBER(F67),F67&gt;0,ISNUMBER(G67)),E67/F67*G67,""),"")</f>
        <v/>
      </c>
      <c r="I67" s="63"/>
      <c r="J67" s="63"/>
    </row>
    <row r="68" spans="2:11" ht="16.5" customHeight="1">
      <c r="B68" s="71">
        <v>16</v>
      </c>
      <c r="C68" s="12" t="s">
        <v>109</v>
      </c>
      <c r="D68" s="72" t="s">
        <v>295</v>
      </c>
      <c r="E68" s="75">
        <v>1</v>
      </c>
      <c r="F68" s="76">
        <v>1</v>
      </c>
      <c r="G68" s="73" t="str">
        <f>IFERROR(VLOOKUP(C68,'🧪 프렙 원가표'!$C$8:$D$18,2,0),IFERROR(VLOOKUP(C68,'🥬 식재료 DB'!$C$7:$H$121,6,0),""))</f>
        <v/>
      </c>
      <c r="H68" s="74" t="str">
        <f>IFERROR(IF(AND(C68&lt;&gt;"",ISNUMBER(E68),ISNUMBER(F68),F68&gt;0,ISNUMBER(G68)),E68/F68*G68,""),"")</f>
        <v/>
      </c>
      <c r="I68" s="77"/>
      <c r="J68" s="77"/>
    </row>
    <row r="69" spans="2:11" ht="16.5" customHeight="1">
      <c r="B69" s="71">
        <v>17</v>
      </c>
      <c r="C69" s="68"/>
      <c r="D69" s="72" t="s">
        <v>295</v>
      </c>
      <c r="E69" s="69"/>
      <c r="F69" s="70"/>
      <c r="G69" s="73" t="str">
        <f>IFERROR(VLOOKUP(C69,'🧪 프렙 원가표'!$C$8:$D$18,2,0),IFERROR(VLOOKUP(C69,'🥬 식재료 DB'!$C$7:$H$121,6,0),""))</f>
        <v/>
      </c>
      <c r="H69" s="74" t="str">
        <f>IFERROR(IF(AND(C69&lt;&gt;"",ISNUMBER(E69),ISNUMBER(F69),F69&gt;0,ISNUMBER(G69)),E69/F69*G69,""),"")</f>
        <v/>
      </c>
      <c r="I69" s="63"/>
      <c r="J69" s="63"/>
    </row>
    <row r="70" spans="2:11" ht="3.75" customHeight="1">
      <c r="B70" s="78"/>
      <c r="C70" s="78"/>
      <c r="D70" s="78"/>
      <c r="E70" s="78"/>
      <c r="F70" s="78"/>
      <c r="G70" s="78"/>
      <c r="H70" s="78"/>
      <c r="I70" s="78"/>
      <c r="J70" s="78"/>
      <c r="K70" s="78"/>
    </row>
  </sheetData>
  <mergeCells count="9">
    <mergeCell ref="B30:K30"/>
    <mergeCell ref="B43:K43"/>
    <mergeCell ref="B51:K51"/>
    <mergeCell ref="B64:K64"/>
    <mergeCell ref="B2:K2"/>
    <mergeCell ref="B4:K4"/>
    <mergeCell ref="B5:K5"/>
    <mergeCell ref="B9:K9"/>
    <mergeCell ref="B22:K22"/>
  </mergeCells>
  <phoneticPr fontId="6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7A1E"/>
  </sheetPr>
  <dimension ref="A1:K134"/>
  <sheetViews>
    <sheetView showGridLines="0" zoomScaleNormal="100" workbookViewId="0">
      <pane xSplit="2" ySplit="7" topLeftCell="C101" activePane="bottomRight" state="frozen"/>
      <selection pane="topRight" activeCell="C1" sqref="C1"/>
      <selection pane="bottomLeft" activeCell="A8" sqref="A8"/>
      <selection pane="bottomRight" activeCell="J76" sqref="J76"/>
    </sheetView>
  </sheetViews>
  <sheetFormatPr defaultColWidth="8.6640625" defaultRowHeight="14.4"/>
  <cols>
    <col min="1" max="1" width="3" style="1" customWidth="1"/>
    <col min="2" max="2" width="4" style="1" customWidth="1"/>
    <col min="3" max="3" width="26" style="1" customWidth="1"/>
    <col min="4" max="7" width="13" style="1" customWidth="1"/>
    <col min="8" max="8" width="12" style="1" customWidth="1"/>
    <col min="9" max="9" width="3" style="1" customWidth="1"/>
  </cols>
  <sheetData>
    <row r="1" spans="2:11" ht="6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42" customHeight="1">
      <c r="B2" s="220" t="s">
        <v>454</v>
      </c>
      <c r="C2" s="220"/>
      <c r="D2" s="220"/>
      <c r="E2" s="220"/>
      <c r="F2" s="220"/>
      <c r="G2" s="220"/>
      <c r="H2" s="220"/>
      <c r="I2" s="220"/>
      <c r="J2" s="220"/>
      <c r="K2" s="220"/>
    </row>
    <row r="3" spans="2:11" ht="7.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.75" customHeight="1">
      <c r="B4" s="197" t="s">
        <v>455</v>
      </c>
      <c r="C4" s="197"/>
      <c r="D4" s="197"/>
      <c r="E4" s="197"/>
      <c r="F4" s="197"/>
      <c r="G4" s="197"/>
      <c r="H4" s="197"/>
      <c r="I4" s="197"/>
      <c r="J4" s="197"/>
      <c r="K4" s="197"/>
    </row>
    <row r="5" spans="2:11" ht="6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7" spans="2:11" ht="21.75" customHeight="1">
      <c r="B7" s="144" t="s">
        <v>6</v>
      </c>
      <c r="C7" s="145" t="s">
        <v>456</v>
      </c>
      <c r="D7" s="144" t="s">
        <v>457</v>
      </c>
      <c r="E7" s="145" t="s">
        <v>458</v>
      </c>
      <c r="F7" s="145" t="s">
        <v>286</v>
      </c>
      <c r="G7" s="145" t="s">
        <v>459</v>
      </c>
      <c r="H7" s="145" t="s">
        <v>289</v>
      </c>
    </row>
    <row r="8" spans="2:11" ht="18" customHeight="1">
      <c r="B8" s="5">
        <v>1</v>
      </c>
      <c r="C8" s="6" t="s">
        <v>294</v>
      </c>
      <c r="D8" s="146">
        <f>IFERROR(SUM(F24,F25,F26,F27,F28,F29,F30,F31,F32,F33,F34,F35,F36)/59904,0)</f>
        <v>2.9176237535612533</v>
      </c>
      <c r="E8" s="8">
        <v>59904</v>
      </c>
      <c r="F8" s="147">
        <v>0.78</v>
      </c>
      <c r="G8" s="8">
        <f>SUM(F24,F25,F26,F27,F28,F29,F30,F31,F32,F33,F34,F35,F36)</f>
        <v>174777.33333333331</v>
      </c>
      <c r="H8" s="31"/>
    </row>
    <row r="9" spans="2:11" ht="18" customHeight="1">
      <c r="B9" s="148">
        <v>2</v>
      </c>
      <c r="C9" s="149" t="s">
        <v>361</v>
      </c>
      <c r="D9" s="146">
        <f>IFERROR(SUM(F41,F42,F43,F44,F45,F46,F47,F48,F49,F50,F51)/2000,0)</f>
        <v>7.8971388888888887</v>
      </c>
      <c r="E9" s="150">
        <v>2000</v>
      </c>
      <c r="F9" s="151">
        <v>1</v>
      </c>
      <c r="G9" s="150">
        <f>SUM(F41,F42,F43,F44,F45,F46,F47,F48,F49,F50,F51)</f>
        <v>15794.277777777777</v>
      </c>
      <c r="H9" s="152"/>
    </row>
    <row r="10" spans="2:11" ht="18" customHeight="1">
      <c r="B10" s="5">
        <v>3</v>
      </c>
      <c r="C10" s="6" t="s">
        <v>337</v>
      </c>
      <c r="D10" s="146">
        <f>IFERROR(SUM(F56,F57,F58,F59,F60,F61)/1048,0)</f>
        <v>6.9656488549618318</v>
      </c>
      <c r="E10" s="8">
        <v>1048</v>
      </c>
      <c r="F10" s="147">
        <v>0.8</v>
      </c>
      <c r="G10" s="8">
        <f>SUM(F56,F57,F58,F59,F60,F61)</f>
        <v>7300</v>
      </c>
      <c r="H10" s="31"/>
    </row>
    <row r="11" spans="2:11" ht="18" customHeight="1">
      <c r="B11" s="148">
        <v>4</v>
      </c>
      <c r="C11" s="149" t="s">
        <v>460</v>
      </c>
      <c r="D11" s="146">
        <f>IFERROR(SUM(F66,F67,F68,F69,F70,F71,F72,F73)/549,0)</f>
        <v>21.610503946569519</v>
      </c>
      <c r="E11" s="150">
        <v>549</v>
      </c>
      <c r="F11" s="151">
        <v>0.6</v>
      </c>
      <c r="G11" s="150">
        <f>SUM(F66,F67,F68,F69,F70,F71,F72,F73)</f>
        <v>11864.166666666666</v>
      </c>
      <c r="H11" s="152"/>
    </row>
    <row r="12" spans="2:11" ht="18" customHeight="1">
      <c r="B12" s="5">
        <v>5</v>
      </c>
      <c r="C12" s="6" t="s">
        <v>296</v>
      </c>
      <c r="D12" s="146">
        <f>IFERROR(SUM(F78)/4950,0)</f>
        <v>11</v>
      </c>
      <c r="E12" s="8">
        <v>4950</v>
      </c>
      <c r="F12" s="147">
        <v>0.15</v>
      </c>
      <c r="G12" s="8">
        <f>SUM(F78)</f>
        <v>54450</v>
      </c>
      <c r="H12" s="31"/>
    </row>
    <row r="13" spans="2:11" ht="18" customHeight="1">
      <c r="B13" s="148">
        <v>6</v>
      </c>
      <c r="C13" s="149" t="s">
        <v>307</v>
      </c>
      <c r="D13" s="146">
        <f>IFERROR(SUM(F83,F84,F85,F86,F87,F88)/1402.5,0)</f>
        <v>1.7581542984019767</v>
      </c>
      <c r="E13" s="150">
        <v>1402.5</v>
      </c>
      <c r="F13" s="151">
        <v>0.85</v>
      </c>
      <c r="G13" s="150">
        <f>SUM(F83,F84,F85,F86,F87,F88)</f>
        <v>2465.8114035087724</v>
      </c>
      <c r="H13" s="152"/>
    </row>
    <row r="14" spans="2:11" ht="18" customHeight="1">
      <c r="B14" s="5">
        <v>7</v>
      </c>
      <c r="C14" s="6" t="s">
        <v>312</v>
      </c>
      <c r="D14" s="146">
        <f>IFERROR(SUM(F93,F94)/1200,0)</f>
        <v>1.5972222222222221</v>
      </c>
      <c r="E14" s="8">
        <v>1200</v>
      </c>
      <c r="F14" s="147">
        <v>1</v>
      </c>
      <c r="G14" s="8">
        <f>SUM(F93,F94)</f>
        <v>1916.6666666666665</v>
      </c>
      <c r="H14" s="31"/>
    </row>
    <row r="15" spans="2:11" ht="18" customHeight="1">
      <c r="B15" s="148">
        <v>8</v>
      </c>
      <c r="C15" s="149" t="s">
        <v>461</v>
      </c>
      <c r="D15" s="146">
        <f>IFERROR(SUM(F99,F100,F101,F102)/2000,0)</f>
        <v>1.4033333333333333</v>
      </c>
      <c r="E15" s="150">
        <v>2000</v>
      </c>
      <c r="F15" s="151">
        <v>1</v>
      </c>
      <c r="G15" s="150">
        <f>SUM(F99,F100,F101,F102)</f>
        <v>2806.6666666666665</v>
      </c>
      <c r="H15" s="152"/>
    </row>
    <row r="16" spans="2:11" ht="18" customHeight="1">
      <c r="B16" s="5">
        <v>9</v>
      </c>
      <c r="C16" s="6" t="s">
        <v>349</v>
      </c>
      <c r="D16" s="146">
        <f>IFERROR(SUM(F107,F108,F109,F110,F111,F112,F113,F114,F115)/1520,0)</f>
        <v>6.5501644736842106</v>
      </c>
      <c r="E16" s="8">
        <v>1520</v>
      </c>
      <c r="F16" s="147">
        <v>0.95</v>
      </c>
      <c r="G16" s="8">
        <f>SUM(F107,F108,F109,F110,F111,F112,F113,F114,F115)</f>
        <v>9956.25</v>
      </c>
      <c r="H16" s="31"/>
    </row>
    <row r="17" spans="2:11" ht="18" customHeight="1">
      <c r="B17" s="148">
        <v>10</v>
      </c>
      <c r="C17" s="149" t="s">
        <v>309</v>
      </c>
      <c r="D17" s="146">
        <f>IFERROR(SUM(F120,F121)/900,0)</f>
        <v>10.555555555555555</v>
      </c>
      <c r="E17" s="150">
        <v>900</v>
      </c>
      <c r="F17" s="151">
        <v>0.9</v>
      </c>
      <c r="G17" s="150">
        <f>SUM(F120,F121)</f>
        <v>9500</v>
      </c>
      <c r="H17" s="152"/>
    </row>
    <row r="18" spans="2:11" ht="18" customHeight="1">
      <c r="B18" s="5">
        <v>11</v>
      </c>
      <c r="C18" s="6" t="s">
        <v>104</v>
      </c>
      <c r="D18" s="146">
        <f>IFERROR(SUM(F126,F127,F128,F129,F130,F131,F132)/22.8,0)</f>
        <v>11.340155945419102</v>
      </c>
      <c r="E18" s="8">
        <v>22.8</v>
      </c>
      <c r="F18" s="147">
        <v>0.6</v>
      </c>
      <c r="G18" s="8">
        <f>SUM(F126,F127,F128,F129,F130,F131,F132)</f>
        <v>258.55555555555554</v>
      </c>
      <c r="H18" s="31"/>
    </row>
    <row r="19" spans="2:11" ht="9.75" customHeight="1"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2:11" ht="19.5" customHeight="1">
      <c r="B20" s="221" t="s">
        <v>462</v>
      </c>
      <c r="C20" s="221"/>
      <c r="D20" s="221"/>
      <c r="E20" s="221"/>
      <c r="F20" s="221"/>
      <c r="G20" s="221"/>
      <c r="H20" s="221"/>
    </row>
    <row r="21" spans="2:11" ht="6" customHeight="1"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2:11" ht="24" customHeight="1">
      <c r="B22" s="218" t="s">
        <v>463</v>
      </c>
      <c r="C22" s="218"/>
      <c r="D22" s="218"/>
      <c r="E22" s="219" t="s">
        <v>464</v>
      </c>
      <c r="F22" s="219"/>
      <c r="G22" s="219"/>
      <c r="H22" s="219"/>
    </row>
    <row r="23" spans="2:11" ht="18" customHeight="1">
      <c r="B23" s="153" t="s">
        <v>6</v>
      </c>
      <c r="C23" s="154" t="s">
        <v>130</v>
      </c>
      <c r="D23" s="154" t="s">
        <v>465</v>
      </c>
      <c r="E23" s="153" t="s">
        <v>466</v>
      </c>
      <c r="F23" s="154" t="s">
        <v>288</v>
      </c>
      <c r="G23" s="154" t="s">
        <v>289</v>
      </c>
      <c r="H23" s="155"/>
    </row>
    <row r="24" spans="2:11" ht="16.5" customHeight="1">
      <c r="B24" s="156">
        <v>1</v>
      </c>
      <c r="C24" s="6" t="s">
        <v>140</v>
      </c>
      <c r="D24" s="69">
        <v>60000</v>
      </c>
      <c r="E24" s="25">
        <f>IFERROR(VLOOKUP(C24,'🥬 식재료 DB'!$C$7:$H$121,6,0),1.333333)</f>
        <v>0.93333333333333335</v>
      </c>
      <c r="F24" s="62">
        <f t="shared" ref="F24:F36" si="0">IFERROR(D24*E24,0)</f>
        <v>56000</v>
      </c>
      <c r="G24" s="157"/>
      <c r="H24" s="63"/>
    </row>
    <row r="25" spans="2:11" ht="16.5" customHeight="1">
      <c r="B25" s="156">
        <v>2</v>
      </c>
      <c r="C25" s="149" t="s">
        <v>144</v>
      </c>
      <c r="D25" s="69">
        <v>1000</v>
      </c>
      <c r="E25" s="25">
        <f>IFERROR(VLOOKUP(C25,'🥬 식재료 DB'!$C$7:$H$121,6,0),7.85)</f>
        <v>9</v>
      </c>
      <c r="F25" s="62">
        <f t="shared" si="0"/>
        <v>9000</v>
      </c>
      <c r="G25" s="158"/>
      <c r="H25" s="159"/>
    </row>
    <row r="26" spans="2:11" ht="16.5" customHeight="1">
      <c r="B26" s="156">
        <v>3</v>
      </c>
      <c r="C26" s="6" t="s">
        <v>205</v>
      </c>
      <c r="D26" s="69">
        <v>4000</v>
      </c>
      <c r="E26" s="25">
        <f>IFERROR(VLOOKUP(C26,'🥬 식재료 DB'!$C$7:$H$121,6,0),5.333333)</f>
        <v>5.333333333333333</v>
      </c>
      <c r="F26" s="62">
        <f t="shared" si="0"/>
        <v>21333.333333333332</v>
      </c>
      <c r="G26" s="157"/>
      <c r="H26" s="63"/>
    </row>
    <row r="27" spans="2:11" ht="16.5" customHeight="1">
      <c r="B27" s="156">
        <v>4</v>
      </c>
      <c r="C27" s="149" t="s">
        <v>204</v>
      </c>
      <c r="D27" s="69">
        <v>3000</v>
      </c>
      <c r="E27" s="25">
        <f>IFERROR(VLOOKUP(C27,'🥬 식재료 DB'!$C$7:$H$121,6,0),7.5)</f>
        <v>7.5</v>
      </c>
      <c r="F27" s="62">
        <f t="shared" si="0"/>
        <v>22500</v>
      </c>
      <c r="G27" s="158"/>
      <c r="H27" s="159"/>
    </row>
    <row r="28" spans="2:11" ht="16.5" customHeight="1">
      <c r="B28" s="156">
        <v>5</v>
      </c>
      <c r="C28" s="6" t="s">
        <v>143</v>
      </c>
      <c r="D28" s="69">
        <v>1000</v>
      </c>
      <c r="E28" s="25">
        <f>IFERROR(VLOOKUP(C28,'🥬 식재료 DB'!$C$7:$H$121,6,0),15)</f>
        <v>10</v>
      </c>
      <c r="F28" s="62">
        <f t="shared" si="0"/>
        <v>10000</v>
      </c>
      <c r="G28" s="157"/>
      <c r="H28" s="63"/>
    </row>
    <row r="29" spans="2:11" ht="16.5" customHeight="1">
      <c r="B29" s="156">
        <v>6</v>
      </c>
      <c r="C29" s="160" t="s">
        <v>174</v>
      </c>
      <c r="D29" s="69">
        <v>400</v>
      </c>
      <c r="E29" s="25">
        <f>IFERROR(VLOOKUP(C29,'🥬 식재료 DB'!$C$7:$H$121,6,0),22.5)</f>
        <v>22.5</v>
      </c>
      <c r="F29" s="62">
        <f t="shared" si="0"/>
        <v>9000</v>
      </c>
      <c r="G29" s="158"/>
      <c r="H29" s="159"/>
    </row>
    <row r="30" spans="2:11" ht="16.5" customHeight="1">
      <c r="B30" s="156">
        <v>7</v>
      </c>
      <c r="C30" s="6" t="s">
        <v>467</v>
      </c>
      <c r="D30" s="69">
        <v>200</v>
      </c>
      <c r="E30" s="25">
        <f>IFERROR(VLOOKUP(C30,'🥬 식재료 DB'!$C$7:$H$121,6,0),56.67)</f>
        <v>56.67</v>
      </c>
      <c r="F30" s="62">
        <f t="shared" si="0"/>
        <v>11334</v>
      </c>
      <c r="G30" s="157"/>
      <c r="H30" s="63"/>
    </row>
    <row r="31" spans="2:11" ht="16.5" customHeight="1">
      <c r="B31" s="156">
        <v>8</v>
      </c>
      <c r="C31" s="149" t="s">
        <v>228</v>
      </c>
      <c r="D31" s="69">
        <v>200</v>
      </c>
      <c r="E31" s="25">
        <f>IFERROR(VLOOKUP(C31,'🥬 식재료 DB'!$C$7:$H$121,6,0),19)</f>
        <v>19</v>
      </c>
      <c r="F31" s="62">
        <f t="shared" si="0"/>
        <v>3800</v>
      </c>
      <c r="G31" s="158"/>
      <c r="H31" s="159"/>
    </row>
    <row r="32" spans="2:11" ht="16.5" customHeight="1">
      <c r="B32" s="156">
        <v>9</v>
      </c>
      <c r="C32" s="6" t="s">
        <v>229</v>
      </c>
      <c r="D32" s="69">
        <v>200</v>
      </c>
      <c r="E32" s="25">
        <f>IFERROR(VLOOKUP(C32,'🥬 식재료 DB'!$C$7:$H$121,6,0),19)</f>
        <v>19</v>
      </c>
      <c r="F32" s="62">
        <f t="shared" si="0"/>
        <v>3800</v>
      </c>
      <c r="G32" s="157"/>
      <c r="H32" s="63"/>
    </row>
    <row r="33" spans="2:11" ht="16.5" customHeight="1">
      <c r="B33" s="156">
        <v>10</v>
      </c>
      <c r="C33" s="149" t="s">
        <v>191</v>
      </c>
      <c r="D33" s="69">
        <v>3000</v>
      </c>
      <c r="E33" s="25">
        <f>IFERROR(VLOOKUP(C33,'🥬 식재료 DB'!$C$7:$H$121,6,0),3.95)</f>
        <v>2.75</v>
      </c>
      <c r="F33" s="62">
        <f t="shared" si="0"/>
        <v>8250</v>
      </c>
      <c r="G33" s="158"/>
      <c r="H33" s="159"/>
    </row>
    <row r="34" spans="2:11" ht="16.5" customHeight="1">
      <c r="B34" s="156">
        <v>11</v>
      </c>
      <c r="C34" s="17" t="s">
        <v>179</v>
      </c>
      <c r="D34" s="69">
        <v>400</v>
      </c>
      <c r="E34" s="25">
        <f>IFERROR(VLOOKUP(C34,'🥬 식재료 DB'!$C$7:$H$121,6,0),15)</f>
        <v>15</v>
      </c>
      <c r="F34" s="62">
        <f t="shared" si="0"/>
        <v>6000</v>
      </c>
      <c r="G34" s="157"/>
      <c r="H34" s="63"/>
    </row>
    <row r="35" spans="2:11" ht="16.5" customHeight="1">
      <c r="B35" s="156">
        <v>12</v>
      </c>
      <c r="C35" s="149" t="s">
        <v>468</v>
      </c>
      <c r="D35" s="69">
        <v>400</v>
      </c>
      <c r="E35" s="25">
        <f>IFERROR(VLOOKUP(C35,'🥬 식재료 DB'!$C$7:$H$121,6,0),14)</f>
        <v>14</v>
      </c>
      <c r="F35" s="62">
        <f t="shared" si="0"/>
        <v>5600</v>
      </c>
      <c r="G35" s="158"/>
      <c r="H35" s="159"/>
    </row>
    <row r="36" spans="2:11" ht="16.5" customHeight="1">
      <c r="B36" s="156">
        <v>13</v>
      </c>
      <c r="C36" s="6" t="s">
        <v>469</v>
      </c>
      <c r="D36" s="69">
        <v>3000</v>
      </c>
      <c r="E36" s="25">
        <f>IFERROR(VLOOKUP(C36,'🥬 식재료 DB'!$C$7:$H$121,6,0),2.72)</f>
        <v>2.72</v>
      </c>
      <c r="F36" s="62">
        <f t="shared" si="0"/>
        <v>8160.0000000000009</v>
      </c>
      <c r="G36" s="157"/>
      <c r="H36" s="63"/>
    </row>
    <row r="37" spans="2:11" ht="19.5" customHeight="1">
      <c r="B37" s="217" t="s">
        <v>273</v>
      </c>
      <c r="C37" s="217"/>
      <c r="D37" s="217"/>
      <c r="E37" s="161">
        <f>IFERROR(SUM(F24,F25,F26,F27,F28,F29,F30,F31,F32,F33,F34,F35,F36)/59904,0)</f>
        <v>2.9176237535612533</v>
      </c>
      <c r="F37" s="162">
        <f>SUM(F24,F25,F26,F27,F28,F29,F30,F31,F32,F33,F34,F35,F36)</f>
        <v>174777.33333333331</v>
      </c>
      <c r="G37" s="163"/>
      <c r="H37" s="163"/>
    </row>
    <row r="38" spans="2:11" ht="7.5" customHeight="1"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24" customHeight="1">
      <c r="B39" s="218" t="s">
        <v>470</v>
      </c>
      <c r="C39" s="218"/>
      <c r="D39" s="218"/>
      <c r="E39" s="219" t="s">
        <v>471</v>
      </c>
      <c r="F39" s="219"/>
      <c r="G39" s="219"/>
      <c r="H39" s="219"/>
    </row>
    <row r="40" spans="2:11" ht="18" customHeight="1">
      <c r="B40" s="153" t="s">
        <v>6</v>
      </c>
      <c r="C40" s="154" t="s">
        <v>130</v>
      </c>
      <c r="D40" s="154" t="s">
        <v>465</v>
      </c>
      <c r="E40" s="153" t="s">
        <v>466</v>
      </c>
      <c r="F40" s="154" t="s">
        <v>288</v>
      </c>
      <c r="G40" s="154" t="s">
        <v>289</v>
      </c>
      <c r="H40" s="155"/>
    </row>
    <row r="41" spans="2:11" ht="16.5" customHeight="1">
      <c r="B41" s="156">
        <v>1</v>
      </c>
      <c r="C41" s="6" t="s">
        <v>145</v>
      </c>
      <c r="D41" s="69">
        <v>200</v>
      </c>
      <c r="E41" s="25">
        <f>IFERROR(VLOOKUP(C41,'🥬 식재료 DB'!$C$7:$H$121,6,0),14)</f>
        <v>14</v>
      </c>
      <c r="F41" s="62">
        <f t="shared" ref="F41:F51" si="1">IFERROR(D41*E41,0)</f>
        <v>2800</v>
      </c>
      <c r="G41" s="157"/>
      <c r="H41" s="63"/>
    </row>
    <row r="42" spans="2:11" ht="16.5" customHeight="1">
      <c r="B42" s="156">
        <v>2</v>
      </c>
      <c r="C42" s="149" t="s">
        <v>312</v>
      </c>
      <c r="D42" s="69">
        <v>1000</v>
      </c>
      <c r="E42" s="25">
        <f>IFERROR(VLOOKUP(C42,'🥬 식재료 DB'!$C$7:$H$121,6,0),1.7)</f>
        <v>1.7</v>
      </c>
      <c r="F42" s="62">
        <f t="shared" si="1"/>
        <v>1700</v>
      </c>
      <c r="G42" s="158"/>
      <c r="H42" s="159"/>
    </row>
    <row r="43" spans="2:11" ht="16.5" customHeight="1">
      <c r="B43" s="156">
        <v>3</v>
      </c>
      <c r="C43" s="6" t="s">
        <v>228</v>
      </c>
      <c r="D43" s="69">
        <v>100</v>
      </c>
      <c r="E43" s="25">
        <f>IFERROR(VLOOKUP(C43,'🥬 식재료 DB'!$C$7:$H$121,6,0),19)</f>
        <v>19</v>
      </c>
      <c r="F43" s="62">
        <f t="shared" si="1"/>
        <v>1900</v>
      </c>
      <c r="G43" s="157"/>
      <c r="H43" s="63"/>
    </row>
    <row r="44" spans="2:11" ht="16.5" customHeight="1">
      <c r="B44" s="156">
        <v>4</v>
      </c>
      <c r="C44" s="149" t="s">
        <v>229</v>
      </c>
      <c r="D44" s="69">
        <v>100</v>
      </c>
      <c r="E44" s="25">
        <f>IFERROR(VLOOKUP(C44,'🥬 식재료 DB'!$C$7:$H$121,6,0),19)</f>
        <v>19</v>
      </c>
      <c r="F44" s="62">
        <f t="shared" si="1"/>
        <v>1900</v>
      </c>
      <c r="G44" s="158"/>
      <c r="H44" s="159"/>
    </row>
    <row r="45" spans="2:11" ht="16.5" customHeight="1">
      <c r="B45" s="156">
        <v>5</v>
      </c>
      <c r="C45" s="17" t="s">
        <v>472</v>
      </c>
      <c r="D45" s="69">
        <v>100</v>
      </c>
      <c r="E45" s="25">
        <f>IFERROR(VLOOKUP(C45,'🥬 식재료 DB'!$C$7:$H$121,6,0),22.5)</f>
        <v>22.5</v>
      </c>
      <c r="F45" s="62">
        <f t="shared" si="1"/>
        <v>2250</v>
      </c>
      <c r="G45" s="157"/>
      <c r="H45" s="63"/>
    </row>
    <row r="46" spans="2:11" ht="16.5" customHeight="1">
      <c r="B46" s="156">
        <v>6</v>
      </c>
      <c r="C46" s="160" t="s">
        <v>183</v>
      </c>
      <c r="D46" s="69">
        <v>50</v>
      </c>
      <c r="E46" s="25">
        <f>IFERROR(VLOOKUP(C46,'🥬 식재료 DB'!$C$7:$H$121,6,0),25)</f>
        <v>25</v>
      </c>
      <c r="F46" s="62">
        <f t="shared" si="1"/>
        <v>1250</v>
      </c>
      <c r="G46" s="158"/>
      <c r="H46" s="159"/>
    </row>
    <row r="47" spans="2:11" ht="16.5" customHeight="1">
      <c r="B47" s="156">
        <v>7</v>
      </c>
      <c r="C47" s="6" t="s">
        <v>144</v>
      </c>
      <c r="D47" s="69">
        <v>200</v>
      </c>
      <c r="E47" s="25">
        <f>IFERROR(VLOOKUP(C47,'🥬 식재료 DB'!$C$7:$H$121,6,0),7.85)</f>
        <v>9</v>
      </c>
      <c r="F47" s="62">
        <f t="shared" si="1"/>
        <v>1800</v>
      </c>
      <c r="G47" s="157"/>
      <c r="H47" s="63"/>
    </row>
    <row r="48" spans="2:11" ht="16.5" customHeight="1">
      <c r="B48" s="156">
        <v>8</v>
      </c>
      <c r="C48" s="149" t="s">
        <v>143</v>
      </c>
      <c r="D48" s="69">
        <v>200</v>
      </c>
      <c r="E48" s="25">
        <f>IFERROR(VLOOKUP(C48,'🥬 식재료 DB'!$C$7:$H$121,6,0),15)</f>
        <v>10</v>
      </c>
      <c r="F48" s="62">
        <f t="shared" si="1"/>
        <v>2000</v>
      </c>
      <c r="G48" s="158"/>
      <c r="H48" s="159"/>
    </row>
    <row r="49" spans="2:11" ht="16.5" customHeight="1">
      <c r="B49" s="156">
        <v>9</v>
      </c>
      <c r="C49" s="6" t="s">
        <v>171</v>
      </c>
      <c r="D49" s="69">
        <v>25</v>
      </c>
      <c r="E49" s="25">
        <f>IFERROR(VLOOKUP(C49,'🥬 식재료 DB'!$C$7:$H$121,6,0),1.583333)</f>
        <v>1.9444444444444444</v>
      </c>
      <c r="F49" s="62">
        <f t="shared" si="1"/>
        <v>48.611111111111107</v>
      </c>
      <c r="G49" s="157"/>
      <c r="H49" s="63"/>
    </row>
    <row r="50" spans="2:11" ht="16.5" customHeight="1">
      <c r="B50" s="156">
        <v>10</v>
      </c>
      <c r="C50" s="149" t="s">
        <v>473</v>
      </c>
      <c r="D50" s="69">
        <v>20</v>
      </c>
      <c r="E50" s="25">
        <f>IFERROR(VLOOKUP(C50,'🥬 식재료 DB'!$C$7:$H$121,6,0),3.95)</f>
        <v>3.95</v>
      </c>
      <c r="F50" s="62">
        <f t="shared" si="1"/>
        <v>79</v>
      </c>
      <c r="G50" s="158"/>
      <c r="H50" s="159"/>
    </row>
    <row r="51" spans="2:11" ht="16.5" customHeight="1">
      <c r="B51" s="156">
        <v>11</v>
      </c>
      <c r="C51" s="6" t="s">
        <v>169</v>
      </c>
      <c r="D51" s="69">
        <v>50</v>
      </c>
      <c r="E51" s="25">
        <f>IFERROR(VLOOKUP(C51,'🥬 식재료 DB'!$C$7:$H$121,6,0),1.95)</f>
        <v>1.3333333333333333</v>
      </c>
      <c r="F51" s="62">
        <f t="shared" si="1"/>
        <v>66.666666666666657</v>
      </c>
      <c r="G51" s="157"/>
      <c r="H51" s="63"/>
    </row>
    <row r="52" spans="2:11" ht="19.5" customHeight="1">
      <c r="B52" s="217" t="s">
        <v>273</v>
      </c>
      <c r="C52" s="217"/>
      <c r="D52" s="217"/>
      <c r="E52" s="161">
        <f>IFERROR(SUM(F41,F42,F43,F44,F45,F46,F47,F48,F49,F50,F51)/2000,0)</f>
        <v>7.8971388888888887</v>
      </c>
      <c r="F52" s="162">
        <f>SUM(F41,F42,F43,F44,F45,F46,F47,F48,F49,F50,F51)</f>
        <v>15794.277777777777</v>
      </c>
      <c r="G52" s="163"/>
      <c r="H52" s="163"/>
    </row>
    <row r="53" spans="2:11" ht="7.5" customHeight="1"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2:11" ht="24" customHeight="1">
      <c r="B54" s="218" t="s">
        <v>474</v>
      </c>
      <c r="C54" s="218"/>
      <c r="D54" s="218"/>
      <c r="E54" s="219" t="s">
        <v>475</v>
      </c>
      <c r="F54" s="219"/>
      <c r="G54" s="219"/>
      <c r="H54" s="219"/>
    </row>
    <row r="55" spans="2:11" ht="18" customHeight="1">
      <c r="B55" s="153" t="s">
        <v>6</v>
      </c>
      <c r="C55" s="154" t="s">
        <v>130</v>
      </c>
      <c r="D55" s="154" t="s">
        <v>465</v>
      </c>
      <c r="E55" s="153" t="s">
        <v>466</v>
      </c>
      <c r="F55" s="154" t="s">
        <v>288</v>
      </c>
      <c r="G55" s="154" t="s">
        <v>289</v>
      </c>
      <c r="H55" s="155"/>
    </row>
    <row r="56" spans="2:11" ht="16.5" customHeight="1">
      <c r="B56" s="156">
        <v>1</v>
      </c>
      <c r="C56" s="6" t="s">
        <v>221</v>
      </c>
      <c r="D56" s="69">
        <v>1000</v>
      </c>
      <c r="E56" s="25">
        <f>IFERROR(VLOOKUP(C56,'🥬 식재료 DB'!$C$7:$H$121,6,0),3)</f>
        <v>3.2</v>
      </c>
      <c r="F56" s="62">
        <f t="shared" ref="F56:F61" si="2">IFERROR(D56*E56,0)</f>
        <v>3200</v>
      </c>
      <c r="G56" s="157"/>
      <c r="H56" s="63"/>
    </row>
    <row r="57" spans="2:11" ht="16.5" customHeight="1">
      <c r="B57" s="156">
        <v>2</v>
      </c>
      <c r="C57" s="160" t="s">
        <v>472</v>
      </c>
      <c r="D57" s="69">
        <v>100</v>
      </c>
      <c r="E57" s="25">
        <f>IFERROR(VLOOKUP(C57,'🥬 식재료 DB'!$C$7:$H$121,6,0),22.5)</f>
        <v>22.5</v>
      </c>
      <c r="F57" s="62">
        <f t="shared" si="2"/>
        <v>2250</v>
      </c>
      <c r="G57" s="158"/>
      <c r="H57" s="159"/>
    </row>
    <row r="58" spans="2:11" ht="16.5" customHeight="1">
      <c r="B58" s="156">
        <v>3</v>
      </c>
      <c r="C58" s="6" t="s">
        <v>168</v>
      </c>
      <c r="D58" s="69">
        <v>30</v>
      </c>
      <c r="E58" s="25">
        <f>IFERROR(VLOOKUP(C58,'🥬 식재료 DB'!$C$7:$H$121,6,0),1.2)</f>
        <v>1</v>
      </c>
      <c r="F58" s="62">
        <f t="shared" si="2"/>
        <v>30</v>
      </c>
      <c r="G58" s="157"/>
      <c r="H58" s="63"/>
    </row>
    <row r="59" spans="2:11" ht="16.5" customHeight="1">
      <c r="B59" s="156">
        <v>4</v>
      </c>
      <c r="C59" s="149" t="s">
        <v>144</v>
      </c>
      <c r="D59" s="69">
        <v>100</v>
      </c>
      <c r="E59" s="25">
        <f>IFERROR(VLOOKUP(C59,'🥬 식재료 DB'!$C$7:$H$121,6,0),7.85)</f>
        <v>9</v>
      </c>
      <c r="F59" s="62">
        <f t="shared" si="2"/>
        <v>900</v>
      </c>
      <c r="G59" s="158"/>
      <c r="H59" s="159"/>
    </row>
    <row r="60" spans="2:11" ht="16.5" customHeight="1">
      <c r="B60" s="156">
        <v>5</v>
      </c>
      <c r="C60" s="6" t="s">
        <v>143</v>
      </c>
      <c r="D60" s="69">
        <v>50</v>
      </c>
      <c r="E60" s="25">
        <f>IFERROR(VLOOKUP(C60,'🥬 식재료 DB'!$C$7:$H$121,6,0),15)</f>
        <v>10</v>
      </c>
      <c r="F60" s="62">
        <f t="shared" si="2"/>
        <v>500</v>
      </c>
      <c r="G60" s="157"/>
      <c r="H60" s="63"/>
    </row>
    <row r="61" spans="2:11" ht="16.5" customHeight="1">
      <c r="B61" s="156">
        <v>6</v>
      </c>
      <c r="C61" s="149" t="s">
        <v>236</v>
      </c>
      <c r="D61" s="69">
        <v>30</v>
      </c>
      <c r="E61" s="25">
        <f>IFERROR(VLOOKUP(C61,'🥬 식재료 DB'!$C$7:$H$121,6,0),12.8)</f>
        <v>14</v>
      </c>
      <c r="F61" s="62">
        <f t="shared" si="2"/>
        <v>420</v>
      </c>
      <c r="G61" s="158"/>
      <c r="H61" s="159"/>
    </row>
    <row r="62" spans="2:11" ht="19.5" customHeight="1">
      <c r="B62" s="217" t="s">
        <v>273</v>
      </c>
      <c r="C62" s="217"/>
      <c r="D62" s="217"/>
      <c r="E62" s="161">
        <f>IFERROR(SUM(F56,F57,F58,F59,F60,F61)/1048,0)</f>
        <v>6.9656488549618318</v>
      </c>
      <c r="F62" s="162">
        <f>SUM(F56,F57,F58,F59,F60,F61)</f>
        <v>7300</v>
      </c>
      <c r="G62" s="163"/>
      <c r="H62" s="163"/>
    </row>
    <row r="63" spans="2:11" ht="7.5" customHeight="1"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2:11" ht="24" customHeight="1">
      <c r="B64" s="218" t="s">
        <v>476</v>
      </c>
      <c r="C64" s="218"/>
      <c r="D64" s="218"/>
      <c r="E64" s="219" t="s">
        <v>477</v>
      </c>
      <c r="F64" s="219"/>
      <c r="G64" s="219"/>
      <c r="H64" s="219"/>
    </row>
    <row r="65" spans="2:11" ht="18" customHeight="1">
      <c r="B65" s="153" t="s">
        <v>6</v>
      </c>
      <c r="C65" s="154" t="s">
        <v>130</v>
      </c>
      <c r="D65" s="154" t="s">
        <v>465</v>
      </c>
      <c r="E65" s="153" t="s">
        <v>466</v>
      </c>
      <c r="F65" s="154" t="s">
        <v>288</v>
      </c>
      <c r="G65" s="154" t="s">
        <v>289</v>
      </c>
      <c r="H65" s="155"/>
    </row>
    <row r="66" spans="2:11" ht="16.5" customHeight="1">
      <c r="B66" s="156">
        <v>1</v>
      </c>
      <c r="C66" s="6" t="s">
        <v>224</v>
      </c>
      <c r="D66" s="69">
        <v>500</v>
      </c>
      <c r="E66" s="25">
        <f>IFERROR(VLOOKUP(C66,'🥬 식재료 DB'!$C$7:$H$121,6,0),18)</f>
        <v>18</v>
      </c>
      <c r="F66" s="62">
        <f t="shared" ref="F66:F73" si="3">IFERROR(D66*E66,0)</f>
        <v>9000</v>
      </c>
      <c r="G66" s="157"/>
      <c r="H66" s="63"/>
    </row>
    <row r="67" spans="2:11" ht="16.5" customHeight="1">
      <c r="B67" s="156">
        <v>2</v>
      </c>
      <c r="C67" s="149" t="s">
        <v>144</v>
      </c>
      <c r="D67" s="69">
        <v>100</v>
      </c>
      <c r="E67" s="25">
        <f>IFERROR(VLOOKUP(C67,'🥬 식재료 DB'!$C$7:$H$121,6,0),7.85)</f>
        <v>9</v>
      </c>
      <c r="F67" s="62">
        <f t="shared" si="3"/>
        <v>900</v>
      </c>
      <c r="G67" s="158"/>
      <c r="H67" s="159"/>
    </row>
    <row r="68" spans="2:11" ht="16.5" customHeight="1">
      <c r="B68" s="156">
        <v>3</v>
      </c>
      <c r="C68" s="6" t="s">
        <v>236</v>
      </c>
      <c r="D68" s="69">
        <v>30</v>
      </c>
      <c r="E68" s="25">
        <f>IFERROR(VLOOKUP(C68,'🥬 식재료 DB'!$C$7:$H$121,6,0),12.8)</f>
        <v>14</v>
      </c>
      <c r="F68" s="62">
        <f t="shared" si="3"/>
        <v>420</v>
      </c>
      <c r="G68" s="157"/>
      <c r="H68" s="63"/>
    </row>
    <row r="69" spans="2:11" ht="16.5" customHeight="1">
      <c r="B69" s="156">
        <v>4</v>
      </c>
      <c r="C69" s="160" t="s">
        <v>183</v>
      </c>
      <c r="D69" s="69">
        <v>10</v>
      </c>
      <c r="E69" s="25">
        <f>IFERROR(VLOOKUP(C69,'🥬 식재료 DB'!$C$7:$H$121,6,0),25)</f>
        <v>25</v>
      </c>
      <c r="F69" s="62">
        <f t="shared" si="3"/>
        <v>250</v>
      </c>
      <c r="G69" s="158"/>
      <c r="H69" s="159"/>
    </row>
    <row r="70" spans="2:11" ht="16.5" customHeight="1">
      <c r="B70" s="156">
        <v>5</v>
      </c>
      <c r="C70" s="6" t="s">
        <v>168</v>
      </c>
      <c r="D70" s="69">
        <v>10</v>
      </c>
      <c r="E70" s="25">
        <f>IFERROR(VLOOKUP(C70,'🥬 식재료 DB'!$C$7:$H$121,6,0),1.2)</f>
        <v>1</v>
      </c>
      <c r="F70" s="62">
        <f t="shared" si="3"/>
        <v>10</v>
      </c>
      <c r="G70" s="157"/>
      <c r="H70" s="63"/>
    </row>
    <row r="71" spans="2:11" ht="16.5" customHeight="1">
      <c r="B71" s="156">
        <v>6</v>
      </c>
      <c r="C71" s="149" t="s">
        <v>171</v>
      </c>
      <c r="D71" s="69">
        <v>15</v>
      </c>
      <c r="E71" s="25">
        <f>IFERROR(VLOOKUP(C71,'🥬 식재료 DB'!$C$7:$H$121,6,0),1.583333)</f>
        <v>1.9444444444444444</v>
      </c>
      <c r="F71" s="62">
        <f t="shared" si="3"/>
        <v>29.166666666666668</v>
      </c>
      <c r="G71" s="158"/>
      <c r="H71" s="159"/>
    </row>
    <row r="72" spans="2:11" ht="16.5" customHeight="1">
      <c r="B72" s="156">
        <v>7</v>
      </c>
      <c r="C72" s="6" t="s">
        <v>312</v>
      </c>
      <c r="D72" s="69">
        <v>150</v>
      </c>
      <c r="E72" s="25">
        <f>IFERROR(VLOOKUP(C72,'🥬 식재료 DB'!$C$7:$H$121,6,0),1.7)</f>
        <v>1.7</v>
      </c>
      <c r="F72" s="62">
        <f t="shared" si="3"/>
        <v>255</v>
      </c>
      <c r="G72" s="157"/>
      <c r="H72" s="63"/>
    </row>
    <row r="73" spans="2:11" ht="16.5" customHeight="1">
      <c r="B73" s="156">
        <v>8</v>
      </c>
      <c r="C73" s="149" t="s">
        <v>143</v>
      </c>
      <c r="D73" s="69">
        <v>100</v>
      </c>
      <c r="E73" s="25">
        <f>IFERROR(VLOOKUP(C73,'🥬 식재료 DB'!$C$7:$H$121,6,0),15)</f>
        <v>10</v>
      </c>
      <c r="F73" s="62">
        <f t="shared" si="3"/>
        <v>1000</v>
      </c>
      <c r="G73" s="158"/>
      <c r="H73" s="159"/>
    </row>
    <row r="74" spans="2:11" ht="19.5" customHeight="1">
      <c r="B74" s="217" t="s">
        <v>273</v>
      </c>
      <c r="C74" s="217"/>
      <c r="D74" s="217"/>
      <c r="E74" s="166">
        <f>IFERROR(SUM(F66,F67,F68,F69,F70,F71,F72,F73)/549,0)</f>
        <v>21.610503946569519</v>
      </c>
      <c r="F74" s="162">
        <f>SUM(F66,F67,F68,F69,F70,F71,F72,F73)</f>
        <v>11864.166666666666</v>
      </c>
      <c r="G74" s="163"/>
      <c r="H74" s="163"/>
    </row>
    <row r="75" spans="2:11" ht="7.5" customHeight="1"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2:11" ht="24" customHeight="1">
      <c r="B76" s="218" t="s">
        <v>478</v>
      </c>
      <c r="C76" s="218"/>
      <c r="D76" s="218"/>
      <c r="E76" s="219" t="s">
        <v>479</v>
      </c>
      <c r="F76" s="219"/>
      <c r="G76" s="219"/>
      <c r="H76" s="219"/>
    </row>
    <row r="77" spans="2:11" ht="18" customHeight="1">
      <c r="B77" s="153" t="s">
        <v>6</v>
      </c>
      <c r="C77" s="154" t="s">
        <v>130</v>
      </c>
      <c r="D77" s="154" t="s">
        <v>465</v>
      </c>
      <c r="E77" s="153" t="s">
        <v>466</v>
      </c>
      <c r="F77" s="154" t="s">
        <v>288</v>
      </c>
      <c r="G77" s="154" t="s">
        <v>289</v>
      </c>
      <c r="H77" s="155"/>
    </row>
    <row r="78" spans="2:11" ht="16.5" customHeight="1">
      <c r="B78" s="156">
        <v>1</v>
      </c>
      <c r="C78" s="6" t="s">
        <v>480</v>
      </c>
      <c r="D78" s="69">
        <v>33000</v>
      </c>
      <c r="E78" s="25">
        <f>IFERROR(VLOOKUP(C78,'🥬 식재료 DB'!$C$7:$H$121,6,0),1.65)</f>
        <v>1.65</v>
      </c>
      <c r="F78" s="62">
        <f>IFERROR(D78*E78,0)</f>
        <v>54450</v>
      </c>
      <c r="G78" s="157"/>
      <c r="H78" s="63"/>
    </row>
    <row r="79" spans="2:11" ht="19.5" customHeight="1">
      <c r="B79" s="217" t="s">
        <v>273</v>
      </c>
      <c r="C79" s="217"/>
      <c r="D79" s="217"/>
      <c r="E79" s="167">
        <f>IFERROR(SUM(F78)/4950,0)</f>
        <v>11</v>
      </c>
      <c r="F79" s="162">
        <f>SUM(F78)</f>
        <v>54450</v>
      </c>
      <c r="G79" s="163"/>
      <c r="H79" s="163"/>
    </row>
    <row r="80" spans="2:11" ht="7.5" customHeight="1"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spans="2:11" ht="24" customHeight="1">
      <c r="B81" s="218" t="s">
        <v>481</v>
      </c>
      <c r="C81" s="218"/>
      <c r="D81" s="218"/>
      <c r="E81" s="219" t="s">
        <v>482</v>
      </c>
      <c r="F81" s="219"/>
      <c r="G81" s="219"/>
      <c r="H81" s="219"/>
    </row>
    <row r="82" spans="2:11" ht="18" customHeight="1">
      <c r="B82" s="153" t="s">
        <v>6</v>
      </c>
      <c r="C82" s="154" t="s">
        <v>130</v>
      </c>
      <c r="D82" s="154" t="s">
        <v>465</v>
      </c>
      <c r="E82" s="153" t="s">
        <v>466</v>
      </c>
      <c r="F82" s="154" t="s">
        <v>288</v>
      </c>
      <c r="G82" s="154" t="s">
        <v>289</v>
      </c>
      <c r="H82" s="155"/>
    </row>
    <row r="83" spans="2:11" ht="16.5" customHeight="1">
      <c r="B83" s="156">
        <v>1</v>
      </c>
      <c r="C83" s="6" t="s">
        <v>140</v>
      </c>
      <c r="D83" s="69">
        <v>1000</v>
      </c>
      <c r="E83" s="25">
        <f>IFERROR(VLOOKUP(C83,'🥬 식재료 DB'!$C$7:$H$121,6,0),1.333333)</f>
        <v>0.93333333333333335</v>
      </c>
      <c r="F83" s="62">
        <f t="shared" ref="F83:F88" si="4">IFERROR(D83*E83,0)</f>
        <v>933.33333333333337</v>
      </c>
      <c r="G83" s="157"/>
      <c r="H83" s="63"/>
    </row>
    <row r="84" spans="2:11" ht="16.5" customHeight="1">
      <c r="B84" s="156">
        <v>2</v>
      </c>
      <c r="C84" s="149" t="s">
        <v>206</v>
      </c>
      <c r="D84" s="69">
        <v>20</v>
      </c>
      <c r="E84" s="25">
        <f>IFERROR(VLOOKUP(C84,'🥬 식재료 DB'!$C$7:$H$121,6,0),12.894737)</f>
        <v>12.894736842105264</v>
      </c>
      <c r="F84" s="62">
        <f t="shared" si="4"/>
        <v>257.89473684210526</v>
      </c>
      <c r="G84" s="158"/>
      <c r="H84" s="159"/>
    </row>
    <row r="85" spans="2:11" ht="16.5" customHeight="1">
      <c r="B85" s="156">
        <v>3</v>
      </c>
      <c r="C85" s="6" t="s">
        <v>480</v>
      </c>
      <c r="D85" s="69">
        <v>300</v>
      </c>
      <c r="E85" s="25">
        <f>IFERROR(VLOOKUP(C85,'🥬 식재료 DB'!$C$7:$H$121,6,0),1.65)</f>
        <v>1.65</v>
      </c>
      <c r="F85" s="62">
        <f t="shared" si="4"/>
        <v>495</v>
      </c>
      <c r="G85" s="157"/>
      <c r="H85" s="63"/>
    </row>
    <row r="86" spans="2:11" ht="16.5" customHeight="1">
      <c r="B86" s="156">
        <v>4</v>
      </c>
      <c r="C86" s="149" t="s">
        <v>239</v>
      </c>
      <c r="D86" s="69">
        <v>30</v>
      </c>
      <c r="E86" s="25">
        <f>IFERROR(VLOOKUP(C86,'🥬 식재료 DB'!$C$7:$H$121,6,0),14.875)</f>
        <v>14.875</v>
      </c>
      <c r="F86" s="62">
        <f t="shared" si="4"/>
        <v>446.25</v>
      </c>
      <c r="G86" s="158"/>
      <c r="H86" s="159"/>
    </row>
    <row r="87" spans="2:11" ht="16.5" customHeight="1">
      <c r="B87" s="156">
        <v>5</v>
      </c>
      <c r="C87" s="6" t="s">
        <v>169</v>
      </c>
      <c r="D87" s="69">
        <v>100</v>
      </c>
      <c r="E87" s="25">
        <f>IFERROR(VLOOKUP(C87,'🥬 식재료 DB'!$C$7:$H$121,6,0),1.95)</f>
        <v>1.3333333333333333</v>
      </c>
      <c r="F87" s="62">
        <f t="shared" si="4"/>
        <v>133.33333333333331</v>
      </c>
      <c r="G87" s="157"/>
      <c r="H87" s="63"/>
    </row>
    <row r="88" spans="2:11" ht="16.5" customHeight="1">
      <c r="B88" s="156">
        <v>6</v>
      </c>
      <c r="C88" s="149" t="s">
        <v>168</v>
      </c>
      <c r="D88" s="69">
        <v>200</v>
      </c>
      <c r="E88" s="25">
        <f>IFERROR(VLOOKUP(C88,'🥬 식재료 DB'!$C$7:$H$121,6,0),1.2)</f>
        <v>1</v>
      </c>
      <c r="F88" s="62">
        <f t="shared" si="4"/>
        <v>200</v>
      </c>
      <c r="G88" s="158"/>
      <c r="H88" s="159"/>
    </row>
    <row r="89" spans="2:11" ht="19.5" customHeight="1">
      <c r="B89" s="217" t="s">
        <v>273</v>
      </c>
      <c r="C89" s="217"/>
      <c r="D89" s="217"/>
      <c r="E89" s="161">
        <f>IFERROR(SUM(F83,F84,F85,F86,F87,F88)/1402.5,0)</f>
        <v>1.7581542984019767</v>
      </c>
      <c r="F89" s="162">
        <f>SUM(F83,F84,F85,F86,F87,F88)</f>
        <v>2465.8114035087724</v>
      </c>
      <c r="G89" s="163"/>
      <c r="H89" s="163"/>
    </row>
    <row r="90" spans="2:11" ht="7.5" customHeight="1"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2:11" ht="24" customHeight="1">
      <c r="B91" s="218" t="s">
        <v>483</v>
      </c>
      <c r="C91" s="218"/>
      <c r="D91" s="218"/>
      <c r="E91" s="219" t="s">
        <v>484</v>
      </c>
      <c r="F91" s="219"/>
      <c r="G91" s="219"/>
      <c r="H91" s="219"/>
    </row>
    <row r="92" spans="2:11" ht="18" customHeight="1">
      <c r="B92" s="153" t="s">
        <v>6</v>
      </c>
      <c r="C92" s="154" t="s">
        <v>130</v>
      </c>
      <c r="D92" s="154" t="s">
        <v>465</v>
      </c>
      <c r="E92" s="153" t="s">
        <v>466</v>
      </c>
      <c r="F92" s="154" t="s">
        <v>288</v>
      </c>
      <c r="G92" s="154" t="s">
        <v>289</v>
      </c>
      <c r="H92" s="155"/>
    </row>
    <row r="93" spans="2:11" ht="16.5" customHeight="1">
      <c r="B93" s="156">
        <v>1</v>
      </c>
      <c r="C93" s="6" t="s">
        <v>217</v>
      </c>
      <c r="D93" s="69">
        <v>1000</v>
      </c>
      <c r="E93" s="25">
        <f>IFERROR(VLOOKUP(C93,'🥬 식재료 DB'!$C$7:$H$121,6,0),1.65)</f>
        <v>1.65</v>
      </c>
      <c r="F93" s="62">
        <f>IFERROR(D93*E93,0)</f>
        <v>1650</v>
      </c>
      <c r="G93" s="157"/>
      <c r="H93" s="63"/>
    </row>
    <row r="94" spans="2:11" ht="16.5" customHeight="1">
      <c r="B94" s="156">
        <v>2</v>
      </c>
      <c r="C94" s="149" t="s">
        <v>169</v>
      </c>
      <c r="D94" s="69">
        <v>200</v>
      </c>
      <c r="E94" s="25">
        <f>IFERROR(VLOOKUP(C94,'🥬 식재료 DB'!$C$7:$H$121,6,0),1.95)</f>
        <v>1.3333333333333333</v>
      </c>
      <c r="F94" s="62">
        <f>IFERROR(D94*E94,0)</f>
        <v>266.66666666666663</v>
      </c>
      <c r="G94" s="158"/>
      <c r="H94" s="159"/>
    </row>
    <row r="95" spans="2:11" ht="19.5" customHeight="1">
      <c r="B95" s="217" t="s">
        <v>273</v>
      </c>
      <c r="C95" s="217"/>
      <c r="D95" s="217"/>
      <c r="E95" s="161">
        <f>IFERROR(SUM(F93,F94)/1200,0)</f>
        <v>1.5972222222222221</v>
      </c>
      <c r="F95" s="162">
        <f>SUM(F93,F94)</f>
        <v>1916.6666666666665</v>
      </c>
      <c r="G95" s="163"/>
      <c r="H95" s="163"/>
    </row>
    <row r="96" spans="2:11" ht="7.5" customHeight="1"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spans="2:11" ht="24" customHeight="1">
      <c r="B97" s="218" t="s">
        <v>485</v>
      </c>
      <c r="C97" s="218"/>
      <c r="D97" s="218"/>
      <c r="E97" s="219" t="s">
        <v>471</v>
      </c>
      <c r="F97" s="219"/>
      <c r="G97" s="219"/>
      <c r="H97" s="219"/>
    </row>
    <row r="98" spans="2:11" ht="18" customHeight="1">
      <c r="B98" s="153" t="s">
        <v>6</v>
      </c>
      <c r="C98" s="154" t="s">
        <v>130</v>
      </c>
      <c r="D98" s="154" t="s">
        <v>465</v>
      </c>
      <c r="E98" s="153" t="s">
        <v>466</v>
      </c>
      <c r="F98" s="154" t="s">
        <v>288</v>
      </c>
      <c r="G98" s="154" t="s">
        <v>289</v>
      </c>
      <c r="H98" s="155"/>
    </row>
    <row r="99" spans="2:11" ht="16.5" customHeight="1">
      <c r="B99" s="156">
        <v>1</v>
      </c>
      <c r="C99" s="6" t="s">
        <v>216</v>
      </c>
      <c r="D99" s="69">
        <v>200</v>
      </c>
      <c r="E99" s="25">
        <f>IFERROR(VLOOKUP(C99,'🥬 식재료 DB'!$C$7:$H$121,6,0),4.2)</f>
        <v>4.2</v>
      </c>
      <c r="F99" s="62">
        <f>IFERROR(D99*E99,0)</f>
        <v>840</v>
      </c>
      <c r="G99" s="157"/>
      <c r="H99" s="63"/>
    </row>
    <row r="100" spans="2:11" ht="16.5" customHeight="1">
      <c r="B100" s="156">
        <v>2</v>
      </c>
      <c r="C100" s="149" t="s">
        <v>312</v>
      </c>
      <c r="D100" s="69">
        <v>1000</v>
      </c>
      <c r="E100" s="25">
        <f>IFERROR(VLOOKUP(C100,'🥬 식재료 DB'!$C$7:$H$121,6,0),1.7)</f>
        <v>1.7</v>
      </c>
      <c r="F100" s="62">
        <f>IFERROR(D100*E100,0)</f>
        <v>1700</v>
      </c>
      <c r="G100" s="158"/>
      <c r="H100" s="159"/>
    </row>
    <row r="101" spans="2:11" ht="16.5" customHeight="1">
      <c r="B101" s="156">
        <v>3</v>
      </c>
      <c r="C101" s="6" t="s">
        <v>169</v>
      </c>
      <c r="D101" s="69">
        <v>200</v>
      </c>
      <c r="E101" s="25">
        <f>IFERROR(VLOOKUP(C101,'🥬 식재료 DB'!$C$7:$H$121,6,0),1.95)</f>
        <v>1.3333333333333333</v>
      </c>
      <c r="F101" s="62">
        <f>IFERROR(D101*E101,0)</f>
        <v>266.66666666666663</v>
      </c>
      <c r="G101" s="157"/>
      <c r="H101" s="63"/>
    </row>
    <row r="102" spans="2:11" ht="16.5" customHeight="1">
      <c r="B102" s="156">
        <v>4</v>
      </c>
      <c r="C102" s="149" t="s">
        <v>428</v>
      </c>
      <c r="D102" s="69">
        <v>800</v>
      </c>
      <c r="E102" s="25">
        <f>IFERROR(VLOOKUP(C102,'🥬 식재료 DB'!$C$7:$H$121,6,0),0)</f>
        <v>0</v>
      </c>
      <c r="F102" s="62">
        <f>IFERROR(D102*E102,0)</f>
        <v>0</v>
      </c>
      <c r="G102" s="158"/>
      <c r="H102" s="159"/>
    </row>
    <row r="103" spans="2:11" ht="19.5" customHeight="1">
      <c r="B103" s="217" t="s">
        <v>273</v>
      </c>
      <c r="C103" s="217"/>
      <c r="D103" s="217"/>
      <c r="E103" s="161">
        <f>IFERROR(SUM(F99,F100,F101,F102)/2000,0)</f>
        <v>1.4033333333333333</v>
      </c>
      <c r="F103" s="162">
        <f>SUM(F99,F100,F101,F102)</f>
        <v>2806.6666666666665</v>
      </c>
      <c r="G103" s="163"/>
      <c r="H103" s="163"/>
    </row>
    <row r="104" spans="2:11" ht="7.5" customHeight="1"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spans="2:11" ht="24" customHeight="1">
      <c r="B105" s="218" t="s">
        <v>486</v>
      </c>
      <c r="C105" s="218"/>
      <c r="D105" s="218"/>
      <c r="E105" s="219" t="s">
        <v>487</v>
      </c>
      <c r="F105" s="219"/>
      <c r="G105" s="219"/>
      <c r="H105" s="219"/>
    </row>
    <row r="106" spans="2:11" ht="18" customHeight="1">
      <c r="B106" s="153" t="s">
        <v>6</v>
      </c>
      <c r="C106" s="154" t="s">
        <v>130</v>
      </c>
      <c r="D106" s="154" t="s">
        <v>465</v>
      </c>
      <c r="E106" s="153" t="s">
        <v>466</v>
      </c>
      <c r="F106" s="154" t="s">
        <v>288</v>
      </c>
      <c r="G106" s="154" t="s">
        <v>289</v>
      </c>
      <c r="H106" s="155"/>
    </row>
    <row r="107" spans="2:11" ht="16.5" customHeight="1">
      <c r="B107" s="156">
        <v>1</v>
      </c>
      <c r="C107" s="17" t="s">
        <v>180</v>
      </c>
      <c r="D107" s="69">
        <v>1000</v>
      </c>
      <c r="E107" s="25">
        <f>IFERROR(VLOOKUP(C107,'🥬 식재료 DB'!$C$7:$H$121,6,0),3.125)</f>
        <v>3.125</v>
      </c>
      <c r="F107" s="62">
        <f t="shared" ref="F107:F115" si="5">IFERROR(D107*E107,0)</f>
        <v>3125</v>
      </c>
      <c r="G107" s="157"/>
      <c r="H107" s="63"/>
    </row>
    <row r="108" spans="2:11" ht="16.5" customHeight="1">
      <c r="B108" s="156">
        <v>2</v>
      </c>
      <c r="C108" s="149" t="s">
        <v>227</v>
      </c>
      <c r="D108" s="69">
        <v>200</v>
      </c>
      <c r="E108" s="25">
        <f>IFERROR(VLOOKUP(C108,'🥬 식재료 DB'!$C$7:$H$121,6,0),3.2)</f>
        <v>6</v>
      </c>
      <c r="F108" s="62">
        <f t="shared" si="5"/>
        <v>1200</v>
      </c>
      <c r="G108" s="158"/>
      <c r="H108" s="159"/>
    </row>
    <row r="109" spans="2:11" ht="16.5" customHeight="1">
      <c r="B109" s="156">
        <v>3</v>
      </c>
      <c r="C109" s="6" t="s">
        <v>144</v>
      </c>
      <c r="D109" s="69">
        <v>100</v>
      </c>
      <c r="E109" s="25">
        <f>IFERROR(VLOOKUP(C109,'🥬 식재료 DB'!$C$7:$H$121,6,0),7.85)</f>
        <v>9</v>
      </c>
      <c r="F109" s="62">
        <f t="shared" si="5"/>
        <v>900</v>
      </c>
      <c r="G109" s="157"/>
      <c r="H109" s="63"/>
    </row>
    <row r="110" spans="2:11" ht="16.5" customHeight="1">
      <c r="B110" s="156">
        <v>4</v>
      </c>
      <c r="C110" s="160" t="s">
        <v>182</v>
      </c>
      <c r="D110" s="69">
        <v>50</v>
      </c>
      <c r="E110" s="25">
        <f>IFERROR(VLOOKUP(C110,'🥬 식재료 DB'!$C$7:$H$121,6,0),19.375)</f>
        <v>18.125</v>
      </c>
      <c r="F110" s="62">
        <f t="shared" si="5"/>
        <v>906.25</v>
      </c>
      <c r="G110" s="158"/>
      <c r="H110" s="159"/>
    </row>
    <row r="111" spans="2:11" ht="16.5" customHeight="1">
      <c r="B111" s="156">
        <v>5</v>
      </c>
      <c r="C111" s="6" t="s">
        <v>168</v>
      </c>
      <c r="D111" s="69">
        <v>50</v>
      </c>
      <c r="E111" s="25">
        <f>IFERROR(VLOOKUP(C111,'🥬 식재료 DB'!$C$7:$H$121,6,0),1.2)</f>
        <v>1</v>
      </c>
      <c r="F111" s="62">
        <f t="shared" si="5"/>
        <v>50</v>
      </c>
      <c r="G111" s="157"/>
      <c r="H111" s="63"/>
    </row>
    <row r="112" spans="2:11" ht="16.5" customHeight="1">
      <c r="B112" s="156">
        <v>6</v>
      </c>
      <c r="C112" s="160" t="s">
        <v>472</v>
      </c>
      <c r="D112" s="69">
        <v>50</v>
      </c>
      <c r="E112" s="25">
        <f>IFERROR(VLOOKUP(C112,'🥬 식재료 DB'!$C$7:$H$121,6,0),22.5)</f>
        <v>22.5</v>
      </c>
      <c r="F112" s="62">
        <f t="shared" si="5"/>
        <v>1125</v>
      </c>
      <c r="G112" s="158"/>
      <c r="H112" s="159"/>
    </row>
    <row r="113" spans="2:11" ht="16.5" customHeight="1">
      <c r="B113" s="156">
        <v>7</v>
      </c>
      <c r="C113" s="6" t="s">
        <v>228</v>
      </c>
      <c r="D113" s="69">
        <v>50</v>
      </c>
      <c r="E113" s="25">
        <f>IFERROR(VLOOKUP(C113,'🥬 식재료 DB'!$C$7:$H$121,6,0),19)</f>
        <v>19</v>
      </c>
      <c r="F113" s="62">
        <f t="shared" si="5"/>
        <v>950</v>
      </c>
      <c r="G113" s="157"/>
      <c r="H113" s="63"/>
    </row>
    <row r="114" spans="2:11" ht="16.5" customHeight="1">
      <c r="B114" s="156">
        <v>8</v>
      </c>
      <c r="C114" s="149" t="s">
        <v>229</v>
      </c>
      <c r="D114" s="69">
        <v>50</v>
      </c>
      <c r="E114" s="25">
        <f>IFERROR(VLOOKUP(C114,'🥬 식재료 DB'!$C$7:$H$121,6,0),19)</f>
        <v>19</v>
      </c>
      <c r="F114" s="62">
        <f t="shared" si="5"/>
        <v>950</v>
      </c>
      <c r="G114" s="158"/>
      <c r="H114" s="159"/>
    </row>
    <row r="115" spans="2:11" ht="16.5" customHeight="1">
      <c r="B115" s="156">
        <v>9</v>
      </c>
      <c r="C115" s="17" t="s">
        <v>179</v>
      </c>
      <c r="D115" s="69">
        <v>50</v>
      </c>
      <c r="E115" s="25">
        <f>IFERROR(VLOOKUP(C115,'🥬 식재료 DB'!$C$7:$H$121,6,0),15)</f>
        <v>15</v>
      </c>
      <c r="F115" s="62">
        <f t="shared" si="5"/>
        <v>750</v>
      </c>
      <c r="G115" s="157"/>
      <c r="H115" s="63"/>
    </row>
    <row r="116" spans="2:11" ht="19.5" customHeight="1">
      <c r="B116" s="217" t="s">
        <v>273</v>
      </c>
      <c r="C116" s="217"/>
      <c r="D116" s="217"/>
      <c r="E116" s="161">
        <f>IFERROR(SUM(F107,F108,F109,F110,F111,F112,F113,F114,F115)/1520,0)</f>
        <v>6.5501644736842106</v>
      </c>
      <c r="F116" s="162">
        <f>SUM(F107,F108,F109,F110,F111,F112,F113,F114,F115)</f>
        <v>9956.25</v>
      </c>
      <c r="G116" s="163"/>
      <c r="H116" s="163"/>
    </row>
    <row r="117" spans="2:11" ht="7.5" customHeight="1"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2:11" ht="24" customHeight="1">
      <c r="B118" s="218" t="s">
        <v>488</v>
      </c>
      <c r="C118" s="218"/>
      <c r="D118" s="218"/>
      <c r="E118" s="219" t="s">
        <v>489</v>
      </c>
      <c r="F118" s="219"/>
      <c r="G118" s="219"/>
      <c r="H118" s="219"/>
    </row>
    <row r="119" spans="2:11" ht="18" customHeight="1">
      <c r="B119" s="153" t="s">
        <v>6</v>
      </c>
      <c r="C119" s="154" t="s">
        <v>130</v>
      </c>
      <c r="D119" s="154" t="s">
        <v>465</v>
      </c>
      <c r="E119" s="153" t="s">
        <v>466</v>
      </c>
      <c r="F119" s="154" t="s">
        <v>288</v>
      </c>
      <c r="G119" s="154" t="s">
        <v>289</v>
      </c>
      <c r="H119" s="155"/>
    </row>
    <row r="120" spans="2:11" ht="16.5" customHeight="1">
      <c r="B120" s="156">
        <v>1</v>
      </c>
      <c r="C120" s="6" t="s">
        <v>144</v>
      </c>
      <c r="D120" s="69">
        <v>500</v>
      </c>
      <c r="E120" s="25">
        <f>IFERROR(VLOOKUP(C120,'🥬 식재료 DB'!$C$7:$H$121,6,0),7.85)</f>
        <v>9</v>
      </c>
      <c r="F120" s="62">
        <f>IFERROR(D120*E120,0)</f>
        <v>4500</v>
      </c>
      <c r="G120" s="157"/>
      <c r="H120" s="63"/>
    </row>
    <row r="121" spans="2:11" ht="16.5" customHeight="1">
      <c r="B121" s="156">
        <v>2</v>
      </c>
      <c r="C121" s="149" t="s">
        <v>143</v>
      </c>
      <c r="D121" s="69">
        <v>500</v>
      </c>
      <c r="E121" s="25">
        <f>IFERROR(VLOOKUP(C121,'🥬 식재료 DB'!$C$7:$H$121,6,0),15)</f>
        <v>10</v>
      </c>
      <c r="F121" s="62">
        <f>IFERROR(D121*E121,0)</f>
        <v>5000</v>
      </c>
      <c r="G121" s="158"/>
      <c r="H121" s="159"/>
    </row>
    <row r="122" spans="2:11" ht="19.5" customHeight="1">
      <c r="B122" s="217" t="s">
        <v>273</v>
      </c>
      <c r="C122" s="217"/>
      <c r="D122" s="217"/>
      <c r="E122" s="166">
        <f>IFERROR(SUM(F120,F121)/900,0)</f>
        <v>10.555555555555555</v>
      </c>
      <c r="F122" s="162">
        <f>SUM(F120,F121)</f>
        <v>9500</v>
      </c>
      <c r="G122" s="163"/>
      <c r="H122" s="163"/>
    </row>
    <row r="123" spans="2:11" ht="7.5" customHeight="1"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spans="2:11" ht="24" customHeight="1">
      <c r="B124" s="218" t="s">
        <v>490</v>
      </c>
      <c r="C124" s="218"/>
      <c r="D124" s="218"/>
      <c r="E124" s="219" t="s">
        <v>491</v>
      </c>
      <c r="F124" s="219"/>
      <c r="G124" s="219"/>
      <c r="H124" s="219"/>
    </row>
    <row r="125" spans="2:11" ht="18" customHeight="1">
      <c r="B125" s="153" t="s">
        <v>6</v>
      </c>
      <c r="C125" s="154" t="s">
        <v>130</v>
      </c>
      <c r="D125" s="154" t="s">
        <v>465</v>
      </c>
      <c r="E125" s="153" t="s">
        <v>466</v>
      </c>
      <c r="F125" s="154" t="s">
        <v>288</v>
      </c>
      <c r="G125" s="154" t="s">
        <v>289</v>
      </c>
      <c r="H125" s="155"/>
    </row>
    <row r="126" spans="2:11" ht="16.5" customHeight="1">
      <c r="B126" s="156">
        <v>1</v>
      </c>
      <c r="C126" s="6" t="s">
        <v>218</v>
      </c>
      <c r="D126" s="69">
        <v>10</v>
      </c>
      <c r="E126" s="25">
        <f>IFERROR(VLOOKUP(C126,'🥬 식재료 DB'!$C$7:$H$121,6,0),6.288889)</f>
        <v>6.666666666666667</v>
      </c>
      <c r="F126" s="62">
        <f t="shared" ref="F126:F132" si="6">IFERROR(D126*E126,0)</f>
        <v>66.666666666666671</v>
      </c>
      <c r="G126" s="157"/>
      <c r="H126" s="63"/>
    </row>
    <row r="127" spans="2:11" ht="16.5" customHeight="1">
      <c r="B127" s="156">
        <v>2</v>
      </c>
      <c r="C127" s="149" t="s">
        <v>140</v>
      </c>
      <c r="D127" s="69">
        <v>5</v>
      </c>
      <c r="E127" s="25">
        <f>IFERROR(VLOOKUP(C127,'🥬 식재료 DB'!$C$7:$H$121,6,0),1.333333)</f>
        <v>0.93333333333333335</v>
      </c>
      <c r="F127" s="62">
        <f t="shared" si="6"/>
        <v>4.666666666666667</v>
      </c>
      <c r="G127" s="158"/>
      <c r="H127" s="159"/>
    </row>
    <row r="128" spans="2:11" ht="16.5" customHeight="1">
      <c r="B128" s="156">
        <v>3</v>
      </c>
      <c r="C128" s="6" t="s">
        <v>244</v>
      </c>
      <c r="D128" s="69">
        <v>5</v>
      </c>
      <c r="E128" s="25">
        <f>IFERROR(VLOOKUP(C128,'🥬 식재료 DB'!$C$7:$H$121,6,0),5.5)</f>
        <v>5.5</v>
      </c>
      <c r="F128" s="62">
        <f t="shared" si="6"/>
        <v>27.5</v>
      </c>
      <c r="G128" s="157"/>
      <c r="H128" s="63"/>
    </row>
    <row r="129" spans="2:11" ht="16.5" customHeight="1">
      <c r="B129" s="156">
        <v>4</v>
      </c>
      <c r="C129" s="149" t="s">
        <v>145</v>
      </c>
      <c r="D129" s="69">
        <v>5</v>
      </c>
      <c r="E129" s="25">
        <f>IFERROR(VLOOKUP(C129,'🥬 식재료 DB'!$C$7:$H$121,6,0),14)</f>
        <v>14</v>
      </c>
      <c r="F129" s="62">
        <f t="shared" si="6"/>
        <v>70</v>
      </c>
      <c r="G129" s="158"/>
      <c r="H129" s="159"/>
    </row>
    <row r="130" spans="2:11" ht="16.5" customHeight="1">
      <c r="B130" s="156">
        <v>5</v>
      </c>
      <c r="C130" s="6" t="s">
        <v>171</v>
      </c>
      <c r="D130" s="69">
        <v>5</v>
      </c>
      <c r="E130" s="25">
        <f>IFERROR(VLOOKUP(C130,'🥬 식재료 DB'!$C$7:$H$121,6,0),1.583333)</f>
        <v>1.9444444444444444</v>
      </c>
      <c r="F130" s="62">
        <f t="shared" si="6"/>
        <v>9.7222222222222214</v>
      </c>
      <c r="G130" s="157"/>
      <c r="H130" s="63"/>
    </row>
    <row r="131" spans="2:11" ht="16.5" customHeight="1">
      <c r="B131" s="156">
        <v>6</v>
      </c>
      <c r="C131" s="160" t="s">
        <v>183</v>
      </c>
      <c r="D131" s="69">
        <v>3</v>
      </c>
      <c r="E131" s="25">
        <f>IFERROR(VLOOKUP(C131,'🥬 식재료 DB'!$C$7:$H$121,6,0),25)</f>
        <v>25</v>
      </c>
      <c r="F131" s="62">
        <f t="shared" si="6"/>
        <v>75</v>
      </c>
      <c r="G131" s="158"/>
      <c r="H131" s="159"/>
    </row>
    <row r="132" spans="2:11" ht="16.5" customHeight="1">
      <c r="B132" s="156">
        <v>7</v>
      </c>
      <c r="C132" s="6" t="s">
        <v>168</v>
      </c>
      <c r="D132" s="69">
        <v>5</v>
      </c>
      <c r="E132" s="25">
        <f>IFERROR(VLOOKUP(C132,'🥬 식재료 DB'!$C$7:$H$121,6,0),1.2)</f>
        <v>1</v>
      </c>
      <c r="F132" s="62">
        <f t="shared" si="6"/>
        <v>5</v>
      </c>
      <c r="G132" s="157"/>
      <c r="H132" s="63"/>
    </row>
    <row r="133" spans="2:11" ht="19.5" customHeight="1">
      <c r="B133" s="217" t="s">
        <v>273</v>
      </c>
      <c r="C133" s="217"/>
      <c r="D133" s="217"/>
      <c r="E133" s="166">
        <f>IFERROR(SUM(F126,F127,F128,F129,F130,F131,F132)/22.8,0)</f>
        <v>11.340155945419102</v>
      </c>
      <c r="F133" s="162">
        <f>SUM(F126,F127,F128,F129,F130,F131,F132)</f>
        <v>258.55555555555554</v>
      </c>
      <c r="G133" s="163"/>
      <c r="H133" s="163"/>
    </row>
    <row r="134" spans="2:11" ht="7.5" customHeight="1"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</sheetData>
  <mergeCells count="36">
    <mergeCell ref="B2:K2"/>
    <mergeCell ref="B4:K4"/>
    <mergeCell ref="B20:H20"/>
    <mergeCell ref="B22:D22"/>
    <mergeCell ref="E22:H22"/>
    <mergeCell ref="B37:D37"/>
    <mergeCell ref="B39:D39"/>
    <mergeCell ref="E39:H39"/>
    <mergeCell ref="B52:D52"/>
    <mergeCell ref="B54:D54"/>
    <mergeCell ref="E54:H54"/>
    <mergeCell ref="B62:D62"/>
    <mergeCell ref="B64:D64"/>
    <mergeCell ref="E64:H64"/>
    <mergeCell ref="B74:D74"/>
    <mergeCell ref="B76:D76"/>
    <mergeCell ref="E76:H76"/>
    <mergeCell ref="B79:D79"/>
    <mergeCell ref="B81:D81"/>
    <mergeCell ref="E81:H81"/>
    <mergeCell ref="B89:D89"/>
    <mergeCell ref="B91:D91"/>
    <mergeCell ref="E91:H91"/>
    <mergeCell ref="B95:D95"/>
    <mergeCell ref="B97:D97"/>
    <mergeCell ref="E97:H97"/>
    <mergeCell ref="B103:D103"/>
    <mergeCell ref="B105:D105"/>
    <mergeCell ref="E105:H105"/>
    <mergeCell ref="B133:D133"/>
    <mergeCell ref="B116:D116"/>
    <mergeCell ref="B118:D118"/>
    <mergeCell ref="E118:H118"/>
    <mergeCell ref="B122:D122"/>
    <mergeCell ref="B124:D124"/>
    <mergeCell ref="E124:H124"/>
  </mergeCells>
  <phoneticPr fontId="62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1</vt:i4>
      </vt:variant>
    </vt:vector>
  </HeadingPairs>
  <TitlesOfParts>
    <vt:vector size="16" baseType="lpstr">
      <vt:lpstr>📊 대시보드</vt:lpstr>
      <vt:lpstr>🥬 식재료 DB</vt:lpstr>
      <vt:lpstr>💰 고정비용 DB</vt:lpstr>
      <vt:lpstr>🍗 닭고기 커리</vt:lpstr>
      <vt:lpstr>🐑 양고기 커리</vt:lpstr>
      <vt:lpstr>🥚 에그·해산물 커리</vt:lpstr>
      <vt:lpstr>🥦 야채·달 커리</vt:lpstr>
      <vt:lpstr>🔥 탄두리·케밥</vt:lpstr>
      <vt:lpstr>🥟 스낵·면·만두</vt:lpstr>
      <vt:lpstr>🫓 빵류</vt:lpstr>
      <vt:lpstr>🍚 밥·스프·샐러드</vt:lpstr>
      <vt:lpstr>🍮 디저트</vt:lpstr>
      <vt:lpstr>🥤 음료</vt:lpstr>
      <vt:lpstr>🍽 세트메뉴</vt:lpstr>
      <vt:lpstr>🧪 프렙 원가표</vt:lpstr>
      <vt:lpstr>식재료DB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한희</cp:lastModifiedBy>
  <cp:revision>0</cp:revision>
  <dcterms:created xsi:type="dcterms:W3CDTF">2026-04-05T06:35:58Z</dcterms:created>
  <dcterms:modified xsi:type="dcterms:W3CDTF">2026-04-15T06:54:35Z</dcterms:modified>
  <dc:language>en-US</dc:language>
</cp:coreProperties>
</file>